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1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5.xml" ContentType="application/vnd.openxmlformats-officedocument.drawing+xml"/>
  <Override PartName="/xl/ctrlProps/ctrlProp20.xml" ContentType="application/vnd.ms-excel.controlproperties+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blackscottiechai-my.sharepoint.com/personal/justinwj_blackscottiechai_onmicrosoft_com/Documents/invSys/"/>
    </mc:Choice>
  </mc:AlternateContent>
  <xr:revisionPtr revIDLastSave="3" documentId="13_ncr:1_{4DB3B56A-5F32-40DD-AF27-3408E0A45B07}" xr6:coauthVersionLast="47" xr6:coauthVersionMax="47" xr10:uidLastSave="{76F8F34D-36E9-4005-BF0C-CD3767C46973}"/>
  <bookViews>
    <workbookView xWindow="-110" yWindow="-110" windowWidth="29020" windowHeight="18220" tabRatio="902" firstSheet="1" activeTab="2" xr2:uid="{77EC9C6E-70E1-457E-8E06-3C618C19E9CC}"/>
  </bookViews>
  <sheets>
    <sheet name="INVENTORY MANAGEMENT" sheetId="4" r:id="rId1"/>
    <sheet name="ReceivedTally" sheetId="14" r:id="rId2"/>
    <sheet name="ShipmentsTally" sheetId="15" r:id="rId3"/>
    <sheet name="Production" sheetId="22" r:id="rId4"/>
    <sheet name="CreateRecipe" sheetId="25" r:id="rId5"/>
    <sheet name="Prediction" sheetId="23" r:id="rId6"/>
    <sheet name="Recipes" sheetId="2" r:id="rId7"/>
    <sheet name="IngredientPalette" sheetId="27" r:id="rId8"/>
    <sheet name="SavedLists" sheetId="26" r:id="rId9"/>
    <sheet name="Substitutions" sheetId="21" r:id="rId10"/>
    <sheet name="PredictionLog" sheetId="24" r:id="rId11"/>
    <sheet name="InventoryLog" sheetId="9" r:id="rId12"/>
    <sheet name="ProductionLog" sheetId="19" r:id="rId13"/>
    <sheet name="ReceivedLog" sheetId="17" r:id="rId14"/>
    <sheet name="ShipmentsLog" sheetId="18" r:id="rId15"/>
    <sheet name="Codes" sheetId="20" r:id="rId16"/>
    <sheet name="ReadMe" sheetId="28" r:id="rId17"/>
    <sheet name="Emails" sheetId="11" r:id="rId18"/>
    <sheet name="UserCredentials" sheetId="8" r:id="rId19"/>
    <sheet name="Notes" sheetId="12" r:id="rId20"/>
    <sheet name="TestSummary" sheetId="10" r:id="rId21"/>
    <sheet name="ErrorLog" sheetId="13" r:id="rId22"/>
  </sheets>
  <functionGroups builtInGroupCount="19"/>
  <definedNames>
    <definedName name="_xleta.DEC2HEX" hidden="1" xlm="1">#NAME?</definedName>
    <definedName name="_xleta.MOD" hidden="1" xlm="1">#NAME?</definedName>
    <definedName name="_xleta.RECEIVED" hidden="1" xlm="1">#NAME?</definedName>
    <definedName name="_xlnm.Print_Area" localSheetId="0">'INVENTORY MANAGEMENT'!$I$3:$S$43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0" i="2" l="1"/>
  <c r="L16" i="2"/>
  <c r="L17" i="2"/>
  <c r="L18" i="2"/>
  <c r="L19" i="2"/>
  <c r="L15" i="2"/>
  <c r="L6" i="2"/>
  <c r="L7" i="2"/>
  <c r="L8" i="2"/>
  <c r="L9" i="2"/>
  <c r="L10" i="2"/>
  <c r="L11" i="2"/>
  <c r="L12" i="2"/>
  <c r="L13" i="2"/>
  <c r="L5" i="2"/>
  <c r="M5" i="2" s="1"/>
  <c r="J14" i="2"/>
  <c r="M6" i="2" l="1"/>
  <c r="M7" i="2" s="1"/>
  <c r="M8" i="2" s="1"/>
  <c r="M9" i="2" s="1"/>
  <c r="M10" i="2" s="1"/>
  <c r="M11" i="2" s="1"/>
  <c r="M12" i="2" s="1"/>
  <c r="M1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Justin Jahn</author>
    <author>justinwj</author>
  </authors>
  <commentList>
    <comment ref="A1" authorId="0" shapeId="0" xr:uid="{555E9F64-7C44-47C5-8BB2-CAD281E52A91}">
      <text>
        <r>
          <rPr>
            <b/>
            <sz val="9"/>
            <color indexed="81"/>
            <rFont val="Tahoma"/>
            <family val="2"/>
          </rPr>
          <t>Justin Jahn:</t>
        </r>
        <r>
          <rPr>
            <sz val="9"/>
            <color indexed="81"/>
            <rFont val="Tahoma"/>
            <family val="2"/>
          </rPr>
          <t xml:space="preserve">
codes to filter the Recipes from the Recipe sheet</t>
        </r>
      </text>
    </comment>
    <comment ref="B1" authorId="0" shapeId="0" xr:uid="{CE6949F3-E665-4E32-B5BF-A133E84CF075}">
      <text>
        <r>
          <rPr>
            <b/>
            <sz val="9"/>
            <color indexed="81"/>
            <rFont val="Tahoma"/>
            <family val="2"/>
          </rPr>
          <t>Justin Jahn:</t>
        </r>
        <r>
          <rPr>
            <sz val="9"/>
            <color indexed="81"/>
            <rFont val="Tahoma"/>
            <family val="2"/>
          </rPr>
          <t xml:space="preserve">
Recipes from the Recipes sheet</t>
        </r>
      </text>
    </comment>
    <comment ref="D1" authorId="1" shapeId="0" xr:uid="{18C55B6E-826B-4E4A-96BE-05A1B49071FD}">
      <text>
        <r>
          <rPr>
            <b/>
            <sz val="9"/>
            <color indexed="81"/>
            <rFont val="Tahoma"/>
            <family val="2"/>
          </rPr>
          <t>justinwj:</t>
        </r>
        <r>
          <rPr>
            <sz val="9"/>
            <color indexed="81"/>
            <rFont val="Tahoma"/>
            <family val="2"/>
          </rPr>
          <t xml:space="preserve">
Common Names from the IngredientsPalette</t>
        </r>
      </text>
    </comment>
    <comment ref="E1" authorId="1" shapeId="0" xr:uid="{C87C3ED0-5085-46B8-ACA2-44B1701AE102}">
      <text>
        <r>
          <rPr>
            <b/>
            <sz val="9"/>
            <color indexed="81"/>
            <rFont val="Tahoma"/>
            <family val="2"/>
          </rPr>
          <t>justinwj:</t>
        </r>
        <r>
          <rPr>
            <sz val="9"/>
            <color indexed="81"/>
            <rFont val="Tahoma"/>
            <family val="2"/>
          </rPr>
          <t xml:space="preserve">
codes from the substitution table</t>
        </r>
      </text>
    </comment>
  </commentList>
</comments>
</file>

<file path=xl/sharedStrings.xml><?xml version="1.0" encoding="utf-8"?>
<sst xmlns="http://schemas.openxmlformats.org/spreadsheetml/2006/main" count="1861" uniqueCount="543">
  <si>
    <t>CATEGORY</t>
  </si>
  <si>
    <t>ASSIGNEE</t>
  </si>
  <si>
    <t>DESCRIPTION</t>
  </si>
  <si>
    <t>ITEM</t>
  </si>
  <si>
    <t>UOM</t>
  </si>
  <si>
    <t>LOCATION</t>
  </si>
  <si>
    <t>MADE</t>
  </si>
  <si>
    <t>USED</t>
  </si>
  <si>
    <t>TOTAL INV</t>
  </si>
  <si>
    <t>LOSS</t>
  </si>
  <si>
    <t>LAST EDITED</t>
  </si>
  <si>
    <t>10x10x10 S-4105</t>
  </si>
  <si>
    <t>EA</t>
  </si>
  <si>
    <t>CLEARVIEW</t>
  </si>
  <si>
    <t>10x10x6 S-4107</t>
  </si>
  <si>
    <t>10x6x4 S-4101</t>
  </si>
  <si>
    <t>14x12x10 S-15048</t>
  </si>
  <si>
    <t>18 x 12 x 10 DW S-14230</t>
  </si>
  <si>
    <t>justinwj</t>
  </si>
  <si>
    <t>28/400 Black</t>
  </si>
  <si>
    <t>28/400 White</t>
  </si>
  <si>
    <t>38/400 Black 3125/ Box</t>
  </si>
  <si>
    <t>38/400 White</t>
  </si>
  <si>
    <t>64 oz Bottles</t>
  </si>
  <si>
    <t>HANSON</t>
  </si>
  <si>
    <t xml:space="preserve">Apple Sauce </t>
  </si>
  <si>
    <t>Apple Wassail ( 64 oz)</t>
  </si>
  <si>
    <t>Apple Wassail ( 8 oz)</t>
  </si>
  <si>
    <t>Apple Wassail Spice Blend</t>
  </si>
  <si>
    <t>OZ</t>
  </si>
  <si>
    <t>Apple WONF Flavoring</t>
  </si>
  <si>
    <t>Black Pepper (whole)</t>
  </si>
  <si>
    <t>Black Polybags</t>
  </si>
  <si>
    <t>Brown Color 10.5 gal</t>
  </si>
  <si>
    <t>Bulk Tea</t>
  </si>
  <si>
    <t>Cardamom Seed</t>
  </si>
  <si>
    <t>Cassia Oil</t>
  </si>
  <si>
    <t>Chai ( 8 oz)</t>
  </si>
  <si>
    <t>Chai (64 oz)</t>
  </si>
  <si>
    <t xml:space="preserve">Chai 6 Pack </t>
  </si>
  <si>
    <t>Chai Spice Blend</t>
  </si>
  <si>
    <t>Citric Acid</t>
  </si>
  <si>
    <t>Clove (Ground)</t>
  </si>
  <si>
    <t>Ginger (Ground)</t>
  </si>
  <si>
    <t>Honey</t>
  </si>
  <si>
    <t>Kraft Paper</t>
  </si>
  <si>
    <t>roll</t>
  </si>
  <si>
    <t>Lemon Oil 5 X</t>
  </si>
  <si>
    <t>Nutmeg (Ground)</t>
  </si>
  <si>
    <t>Orange Oil</t>
  </si>
  <si>
    <t>Peanuts Biodegradable</t>
  </si>
  <si>
    <t>bag</t>
  </si>
  <si>
    <t>Peppermint Chai (64 oz)</t>
  </si>
  <si>
    <t>Peppermint Chai (8 oz)</t>
  </si>
  <si>
    <t>Peppermint Oil</t>
  </si>
  <si>
    <t>Peppermint Spice Blend</t>
  </si>
  <si>
    <t>Pumps</t>
  </si>
  <si>
    <t>Sugar</t>
  </si>
  <si>
    <t>USPS Large Flat Rate</t>
  </si>
  <si>
    <t>USPS Medium Flat Rate</t>
  </si>
  <si>
    <t>USPS Regional Type A</t>
  </si>
  <si>
    <t>USPS Small Flat Rate</t>
  </si>
  <si>
    <t>NAME</t>
  </si>
  <si>
    <t>PHASE</t>
  </si>
  <si>
    <t>Cook</t>
  </si>
  <si>
    <t>Tyler</t>
  </si>
  <si>
    <t>Bill</t>
  </si>
  <si>
    <t>12x10x10 S-4123</t>
  </si>
  <si>
    <t xml:space="preserve">Chai 8 Pack </t>
  </si>
  <si>
    <t>Ship.used</t>
  </si>
  <si>
    <t>10x8x6 S-16709</t>
  </si>
  <si>
    <t>12x10x10 S-18182</t>
  </si>
  <si>
    <t>packaging.cook</t>
  </si>
  <si>
    <t>packaging.ship</t>
  </si>
  <si>
    <t>14x10x10 4144</t>
  </si>
  <si>
    <t>14x10x10 DW S-18920</t>
  </si>
  <si>
    <t>ADJUSTMENTS</t>
  </si>
  <si>
    <t>SHIPMENTS</t>
  </si>
  <si>
    <t>RECEIVED</t>
  </si>
  <si>
    <t>USERNAME</t>
  </si>
  <si>
    <t>USER_ID</t>
  </si>
  <si>
    <t>ROLE</t>
  </si>
  <si>
    <t>STATUS</t>
  </si>
  <si>
    <t>LAST LOGIN</t>
  </si>
  <si>
    <t>admin_202412150830</t>
  </si>
  <si>
    <t>admin</t>
  </si>
  <si>
    <t>no</t>
  </si>
  <si>
    <t>Admin</t>
  </si>
  <si>
    <t>justinwj@blackscottiechai.onmicrosoft.com</t>
  </si>
  <si>
    <t>EMAIL</t>
  </si>
  <si>
    <t>billjahn@blackscottiechai.onmicrosoft.com</t>
  </si>
  <si>
    <t>ITEM-0001</t>
  </si>
  <si>
    <t>ITEM-0002</t>
  </si>
  <si>
    <t>ITEM-0003</t>
  </si>
  <si>
    <t>ITEM-0004</t>
  </si>
  <si>
    <t>ITEM-0005</t>
  </si>
  <si>
    <t>ITEM-0006</t>
  </si>
  <si>
    <t>ITEM-0007</t>
  </si>
  <si>
    <t>ITEM-0008</t>
  </si>
  <si>
    <t>ITEM-0009</t>
  </si>
  <si>
    <t>ITEM-0010</t>
  </si>
  <si>
    <t>ITEM-0011</t>
  </si>
  <si>
    <t>ITEM-0014</t>
  </si>
  <si>
    <t>PIN</t>
  </si>
  <si>
    <t>VENDOR(s)</t>
  </si>
  <si>
    <t>Justin</t>
  </si>
  <si>
    <t>ITEM_CODE</t>
  </si>
  <si>
    <t>LOG_ID</t>
  </si>
  <si>
    <t>USER</t>
  </si>
  <si>
    <t>ACTION</t>
  </si>
  <si>
    <t>ITEM_NAME</t>
  </si>
  <si>
    <t>QUANTITY_CHANGE</t>
  </si>
  <si>
    <t>NEW_QUANTITY</t>
  </si>
  <si>
    <t>TIMESTAMP</t>
  </si>
  <si>
    <t>for writing test automations</t>
  </si>
  <si>
    <t>PIN RESET</t>
  </si>
  <si>
    <t>Roles</t>
  </si>
  <si>
    <t>entry</t>
  </si>
  <si>
    <t>billlj</t>
  </si>
  <si>
    <t>Active</t>
  </si>
  <si>
    <t>USR250209213803</t>
  </si>
  <si>
    <t>tylerlj</t>
  </si>
  <si>
    <t>USR250209213936</t>
  </si>
  <si>
    <t>DATE/TIME</t>
  </si>
  <si>
    <t>PROCEDURE CONTEXT</t>
  </si>
  <si>
    <t>ERROR NUMBER</t>
  </si>
  <si>
    <t>ERROR DESCRIPTION</t>
  </si>
  <si>
    <t>Inventory Adjustment</t>
  </si>
  <si>
    <t>PP28HHJS-EBHR-4JY1-JNN8-FS4HYP3FP01J</t>
  </si>
  <si>
    <t>OSPQXGLI-KY8I-3ZJR-0FT6-53UAGH5BVYMC</t>
  </si>
  <si>
    <t>8HII2QWB-Y6CX-M4YQ-89W8-15DL0CXUP98Y</t>
  </si>
  <si>
    <t>You can absolutely use UNDER_CONSTRUCTION for workbooks that are still in development and not ready for use. For workbooks that people should use, RELEASE is a good label, but you might also consider adding a few additional phase names to capture more detail in your process. For example, you could use:</t>
  </si>
  <si>
    <t>• UNDER_CONSTRUCTION – Workbooks under active development</t>
  </si>
  <si>
    <t>• BETA – Workbooks ready for internal testing or a limited audience</t>
  </si>
  <si>
    <t>• RELEASE_CANDIDATE – Workbooks that are nearly final and being vetted for issues</t>
  </si>
  <si>
    <t>• RELEASE (or PRODUCTION) – Workbooks that are officially approved for widespread use</t>
  </si>
  <si>
    <t>• ARCHIVED – Workbooks that are retired but maintained for historical reference</t>
  </si>
  <si>
    <t>This provides a clear progression from initial development through testing to final use. It can also help you manage expectations and clearly communicate which versions are stable versus those still in flux.</t>
  </si>
  <si>
    <t>Sincerely,</t>
  </si>
  <si>
    <t>ChatGPT</t>
  </si>
  <si>
    <t>Preserving your data from one release to the next is a common challenge. A few strategies to consider:</t>
  </si>
  <si>
    <t>• Decouple data from logic. If possible, store your data in a separate workbook or dedicated sheets. That way, when you update the logic or layout in your main workbook, the data remains untouched.</t>
  </si>
  <si>
    <t>• Use versioned data migration. When the structure changes, create migration routines or macros that convert data from the old format to the new one. This ensures that legacy data is transformed correctly.</t>
  </si>
  <si>
    <t>• Maintain backups and archives. Before releasing a new version, archive the existing workbook and its data. This provides a rollback point if something goes wrong.</t>
  </si>
  <si>
    <t>• Leverage external databases. If your data grows or if you foresee frequent structural changes, consider storing the data in an external database or a dedicated file, then linking it to your workbook. This separation can reduce the risk of data loss during updates.</t>
  </si>
  <si>
    <t>By planning your workbook evolution with these strategies, you can help ensure your data remains intact across releases.</t>
  </si>
  <si>
    <t>table</t>
  </si>
  <si>
    <t>power pivot</t>
  </si>
  <si>
    <t>slicer</t>
  </si>
  <si>
    <t>power query</t>
  </si>
  <si>
    <t>pivotable fields</t>
  </si>
  <si>
    <t>kpi</t>
  </si>
  <si>
    <t>measures</t>
  </si>
  <si>
    <t>diagram</t>
  </si>
  <si>
    <t>external input-output panel (Streamlit)</t>
  </si>
  <si>
    <t>text or sound</t>
  </si>
  <si>
    <t>formula</t>
  </si>
  <si>
    <t>charts</t>
  </si>
  <si>
    <t>graphs or diagrams</t>
  </si>
  <si>
    <t>spreadsheets</t>
  </si>
  <si>
    <t>iso-3-view drawings</t>
  </si>
  <si>
    <t>maps</t>
  </si>
  <si>
    <t>3d drawing</t>
  </si>
  <si>
    <t>simulations</t>
  </si>
  <si>
    <t>GUI management tools</t>
  </si>
  <si>
    <t>art-graphics-label-brand-insignia</t>
  </si>
  <si>
    <t>MAIN</t>
  </si>
  <si>
    <t>MAIN subjects to know about in Excel:</t>
  </si>
  <si>
    <t>QUANTITY</t>
  </si>
  <si>
    <t>ORDER_NUMBER</t>
  </si>
  <si>
    <t>ITEMS</t>
  </si>
  <si>
    <t>SGS5RUYY-NFPH-Y0OM-M3EL-FLCTTJASQHTI</t>
  </si>
  <si>
    <t>justu</t>
  </si>
  <si>
    <t>FIK1B6R1-UEYZ-KSGV-4RZ6-M7YNGEM933PM</t>
  </si>
  <si>
    <t>Installing Excel on a mobile device and creating a custom user form, combined with a dedicated mobile scanner app, can indeed be an effective approach for inventory management. This setup offers several advantages:</t>
  </si>
  <si>
    <t>Benefits of This Approach</t>
  </si>
  <si>
    <r>
      <t>1. Direct Data Entry</t>
    </r>
    <r>
      <rPr>
        <sz val="14"/>
        <color rgb="FF000000"/>
        <rFont val="Bradley Hand ITC"/>
        <family val="4"/>
      </rPr>
      <t>: Scanned data can be immediately entered into Excel on the mobile device, reducing the need for data transfer between different systems.</t>
    </r>
  </si>
  <si>
    <r>
      <t>2. Customization</t>
    </r>
    <r>
      <rPr>
        <sz val="14"/>
        <color rgb="FF000000"/>
        <rFont val="Bradley Hand ITC"/>
        <family val="4"/>
      </rPr>
      <t>: Creating a user form in Excel allows you to tailor the interface specifically to your inventory management needs.</t>
    </r>
  </si>
  <si>
    <r>
      <t>3. Offline Capability</t>
    </r>
    <r>
      <rPr>
        <sz val="14"/>
        <color rgb="FF000000"/>
        <rFont val="Bradley Hand ITC"/>
        <family val="4"/>
      </rPr>
      <t>: Excel on mobile devices can work offline, which is useful in areas with poor connectivity.</t>
    </r>
  </si>
  <si>
    <r>
      <t>4. Familiar Interface</t>
    </r>
    <r>
      <rPr>
        <sz val="14"/>
        <color rgb="FF000000"/>
        <rFont val="Bradley Hand ITC"/>
        <family val="4"/>
      </rPr>
      <t>: Many users are already familiar with Excel, potentially reducing the learning curve.</t>
    </r>
  </si>
  <si>
    <t>Considerations</t>
  </si>
  <si>
    <r>
      <t>Device Compatibility</t>
    </r>
    <r>
      <rPr>
        <sz val="14"/>
        <color rgb="FF000000"/>
        <rFont val="Bradley Hand ITC"/>
        <family val="4"/>
      </rPr>
      <t>:</t>
    </r>
  </si>
  <si>
    <t>Ensure your chosen mobile device can run Excel efficiently.</t>
  </si>
  <si>
    <t>Some tablets, like the Microsoft Surface, offer full Excel functionality2.</t>
  </si>
  <si>
    <r>
      <t>Scanner App Integration</t>
    </r>
    <r>
      <rPr>
        <sz val="14"/>
        <color rgb="FF000000"/>
        <rFont val="Bradley Hand ITC"/>
        <family val="4"/>
      </rPr>
      <t>:</t>
    </r>
  </si>
  <si>
    <t>Choose a scanner app that integrates well with Excel on mobile platforms.</t>
  </si>
  <si>
    <t>Apps like "Scan to Excel" are designed specifically for this purpose34.</t>
  </si>
  <si>
    <r>
      <t>Data Synchronization</t>
    </r>
    <r>
      <rPr>
        <sz val="14"/>
        <color rgb="FF000000"/>
        <rFont val="Bradley Hand ITC"/>
        <family val="4"/>
      </rPr>
      <t>:</t>
    </r>
  </si>
  <si>
    <t>Set up a system to sync data from the mobile Excel file to a central database or cloud storage for team access and backup.</t>
  </si>
  <si>
    <r>
      <t>User Form Design</t>
    </r>
    <r>
      <rPr>
        <sz val="14"/>
        <color rgb="FF000000"/>
        <rFont val="Bradley Hand ITC"/>
        <family val="4"/>
      </rPr>
      <t>:</t>
    </r>
  </si>
  <si>
    <t>Design the Excel user form to be touch-friendly and easy to use on smaller screens.</t>
  </si>
  <si>
    <t>Implementation Steps</t>
  </si>
  <si>
    <t>1. Install Excel on your chosen mobile device or tablet.</t>
  </si>
  <si>
    <t>2. Create a custom user form in Excel tailored for inventory management.</t>
  </si>
  <si>
    <t>3. Select and install a compatible barcode scanning app (e.g., Scan to Excel).</t>
  </si>
  <si>
    <t>4. Set up data flow between the scanner app and your Excel form.</t>
  </si>
  <si>
    <t>5. Test the system thoroughly to ensure smooth operation in your specific environment.</t>
  </si>
  <si>
    <t>Answer from Perplexity: pplx.ai/share</t>
  </si>
  <si>
    <t>ONENOTE reference</t>
  </si>
  <si>
    <t>You're absolutely right, and I apologize for overcomplicating the solution. Using a simple TXT file to store the programming explanations for Copilot is an excellent, straightforward approach. Here's how this would work:</t>
  </si>
  <si>
    <t>1. Create a TXT file with clear, concise explanations of your Excel program's functionality, structure, and user roles.</t>
  </si>
  <si>
    <t>2. Store this TXT file in the same OneDrive or SharePoint folder as your Excel workbook.</t>
  </si>
  <si>
    <t>3. When users need help, they can prompt Copilot to read and interpret this TXT file.</t>
  </si>
  <si>
    <t>4. Copilot can then generate user-friendly explanations based on the content of the TXT file.</t>
  </si>
  <si>
    <t>This method keeps your XLSM file lean while providing Copilot with the necessary information to assist users effectively. It's a simple, efficient solution that aligns well with Copilot's capabilities.</t>
  </si>
  <si>
    <t>TRAINING USERS TO USE INVSYS:</t>
  </si>
  <si>
    <t>manual use</t>
  </si>
  <si>
    <t>when adding or deducting inventory while the table is being filtered, 28/400 white disapeared</t>
  </si>
  <si>
    <t>unlisted</t>
  </si>
  <si>
    <t>KMO85Q7G-BXLM-862Q-G3T5-EPWF47R766KK</t>
  </si>
  <si>
    <t>Added Goods Received</t>
  </si>
  <si>
    <t>Deducted Used Items</t>
  </si>
  <si>
    <t>QUV1JY95-NKP3-BCHQ-KD85-P3TE1ZTOPS1C</t>
  </si>
  <si>
    <t>645WUHFF-MD8Q-J3R9-1PZQ-EJW0K6S6ZMQN</t>
  </si>
  <si>
    <t>U6XTET8I-TCI9-5WIJ-JCKB-L5IU703NC9LR</t>
  </si>
  <si>
    <t>8TJFEFLV-FFOP-WD4P-1SG8-ATA2U3VFRTJ3</t>
  </si>
  <si>
    <t>WVABZREY-MEX7-H5WY-JF1T-HFWWHX7V4GE7</t>
  </si>
  <si>
    <t>C5L69AJ8-L7HV-QX5H-0RSE-6VZI045EDA3I</t>
  </si>
  <si>
    <t>07C3UNCB-S6QD-CPXR-IFDZ-DHLCMZHURXYM</t>
  </si>
  <si>
    <t>EUYPU9PO-E9WT-26JX-0U8W-16CKA19M5HWY</t>
  </si>
  <si>
    <t>SHKAUV21-0B2A-TN53-J94T-QU4SX30EK2TB</t>
  </si>
  <si>
    <t>8RU54E8B-Z3MX-1EEM-0LVE-FA7EHAZXTWIN</t>
  </si>
  <si>
    <t>WSM2PQ1E-63VF-N76W-I9GZ-MWT835AD7IDQ</t>
  </si>
  <si>
    <t>AG7OPCER-S51W-EOS2-0OBW-BKLGQ725L3B2</t>
  </si>
  <si>
    <t>YHZL9O7V-Z5BE-0GJB-ICWH-H67AD2EMZQ66</t>
  </si>
  <si>
    <t>ER9FK8C4-YXU1-88TV-ZNN3-7MAWW9C48JVH</t>
  </si>
  <si>
    <t>SEV1KUPH-KZ0I-ZOF1-H3J0-VA24KB4WN4SU</t>
  </si>
  <si>
    <t>GGNY56IL-RZA0-KH6A-ZQ4L-2XOY65FD0ROX</t>
  </si>
  <si>
    <t>NBRHUZ84-5UQM-XXAQ-HU5I-9EXZRKU7BIFI</t>
  </si>
  <si>
    <t>BDJEFB17-CTZ4-JP1Z-ZHQ3-G1JSDF6NO5AM</t>
  </si>
  <si>
    <t>U8JN0PG3-A8WX-GXJY-RA3W-HOA9NGBEYWBL</t>
  </si>
  <si>
    <t>DU5MM4C2-GOV0-9JS2-WD24-68MBFFMUIL5B</t>
  </si>
  <si>
    <t>U3FHXNIB-FHFN-HB2L-EPTQ-WOPXYMLCRFVN</t>
  </si>
  <si>
    <t>H57EIZBE-MHO5-33TU-WCEB-3ABRLGWT42QQ</t>
  </si>
  <si>
    <t>3F3QH22A-I83Q-YVJP-GE13-VKJT15PUQ8EC</t>
  </si>
  <si>
    <t>W69RTUD9-XRXX-7K32-5T5M-IRKZU0EUFXSM</t>
  </si>
  <si>
    <t>LP340ECM-3I0S-DWK2-TTF1-HD5X5OLS8ROP</t>
  </si>
  <si>
    <t>U8IS84VT-9389-LCYX-CU71-KW7VT1DX86Z4</t>
  </si>
  <si>
    <t>QIUAH7CE-FP1Y-5LBH-LHDB-CQ78KCYMRZJL</t>
  </si>
  <si>
    <t>UVLFNPNZ-0UVJ-0BEG-XJZC-Q12MNC5L93BT</t>
  </si>
  <si>
    <t>IXDC81G3-7U51-M36Q-F6KX-XNNG96G2MQ7W</t>
  </si>
  <si>
    <t>6Z59TD96-ETEJ-7WYZ-XU5I-3999W1SJ0D2Z</t>
  </si>
  <si>
    <t>52RR9DCW-KH5A-7BJP-ELCG-TK03ESUE6BNT</t>
  </si>
  <si>
    <t>T4JNTP5Z-RHES-T3AY-W9X1-06LW0M5VKYIW</t>
  </si>
  <si>
    <t>YEOBKCKR-9L6Y-OEXK-KSQN-891L4S80VO93</t>
  </si>
  <si>
    <t>5TEAB8JV-00V8-XFH2-M0TV-28QUD5WRKTBE</t>
  </si>
  <si>
    <t>0MO95EZS-G7UL-W8R2-508G-R1UV2NK619D9</t>
  </si>
  <si>
    <t>TC6QIU4R-8QM2-3W0H-B35A-LIF0TQ7I3VA5</t>
  </si>
  <si>
    <t>GEYN27XU-FQWK-PPSQ-TQQV-S41UFLJZGI59</t>
  </si>
  <si>
    <t>T4HWX0B6-4N23-ZIFK-BJLM-JQK8F5B80XGL</t>
  </si>
  <si>
    <t>MWCOGRZC-X6MZ-KRJK-2WJK-IJXP9X10VTJ1</t>
  </si>
  <si>
    <t>AY4L14SF-46WH-6JBT-KK45-P5JIWRCG8GF5</t>
  </si>
  <si>
    <t>A1R2H3U5-9UM8-6ZWJ-0CB2-EGACEIECFE0Y</t>
  </si>
  <si>
    <t>04PRQ9LD-82OX-GU2T-WLTR-UPVN7RIJFRUV</t>
  </si>
  <si>
    <t>VXYQLE1A-N9NB-GNCS-FK8B-JIZOW96XX7VQ</t>
  </si>
  <si>
    <t>TEWYQHB4-G60U-XRA5-XGJK-72F3IW129WOK</t>
  </si>
  <si>
    <t>ITEM-0012</t>
  </si>
  <si>
    <t>ITEM-0013</t>
  </si>
  <si>
    <t>ITEM-0015</t>
  </si>
  <si>
    <t>8oz Bottles</t>
  </si>
  <si>
    <t>ITEM-0016</t>
  </si>
  <si>
    <t>ingredient</t>
  </si>
  <si>
    <t>Apple Juice Concentrate</t>
  </si>
  <si>
    <t xml:space="preserve">Lbs </t>
  </si>
  <si>
    <t>ITEM-0017</t>
  </si>
  <si>
    <t>ITEM-0018</t>
  </si>
  <si>
    <t>ITEM-0019</t>
  </si>
  <si>
    <t>14x12x10 S-4141</t>
  </si>
  <si>
    <t>ITEM-0020</t>
  </si>
  <si>
    <t>spice blend</t>
  </si>
  <si>
    <t>ITEM-0021</t>
  </si>
  <si>
    <t>flavoring.ingredient</t>
  </si>
  <si>
    <t>ITEM-0022</t>
  </si>
  <si>
    <t>spice.ingredient</t>
  </si>
  <si>
    <t>Brew</t>
  </si>
  <si>
    <t>ITEM-0023</t>
  </si>
  <si>
    <t>Not Using</t>
  </si>
  <si>
    <t>ITEM-0024</t>
  </si>
  <si>
    <t>18x12x12 S-4635</t>
  </si>
  <si>
    <t>ITEM-0025</t>
  </si>
  <si>
    <t>18x1500 80ga ULINE Blown Wrap</t>
  </si>
  <si>
    <t>ITEM-0026</t>
  </si>
  <si>
    <t>sell</t>
  </si>
  <si>
    <t>ITEM-0027</t>
  </si>
  <si>
    <t>ITEM-0028</t>
  </si>
  <si>
    <t>color</t>
  </si>
  <si>
    <t>ITEM-0029</t>
  </si>
  <si>
    <t>tea</t>
  </si>
  <si>
    <t>ITEM-0030</t>
  </si>
  <si>
    <t>spice</t>
  </si>
  <si>
    <t>ITEM-0031</t>
  </si>
  <si>
    <t>oil</t>
  </si>
  <si>
    <t>ITEM-0032</t>
  </si>
  <si>
    <t>ITEM-0033</t>
  </si>
  <si>
    <t>Made.ship</t>
  </si>
  <si>
    <t>ITEM-0034</t>
  </si>
  <si>
    <t>ITEM-0035</t>
  </si>
  <si>
    <t>ITEM-0036</t>
  </si>
  <si>
    <t>ITEM-0037</t>
  </si>
  <si>
    <t>ITEM-0038</t>
  </si>
  <si>
    <t>ITEM-0039</t>
  </si>
  <si>
    <t>sweetener</t>
  </si>
  <si>
    <t>ITEM-0040</t>
  </si>
  <si>
    <t>Ship</t>
  </si>
  <si>
    <t>ITEM-0041</t>
  </si>
  <si>
    <t>ITEM-0042</t>
  </si>
  <si>
    <t>ITEM-0043</t>
  </si>
  <si>
    <t>ITEM-0044</t>
  </si>
  <si>
    <t>ITEM-0045</t>
  </si>
  <si>
    <t>ITEM-0046</t>
  </si>
  <si>
    <t>ITEM-0047</t>
  </si>
  <si>
    <t>ITEM-0048</t>
  </si>
  <si>
    <t>ITEM-0049</t>
  </si>
  <si>
    <t>ITEM-0050</t>
  </si>
  <si>
    <t>ITEM-0051</t>
  </si>
  <si>
    <t>ITEM-0052</t>
  </si>
  <si>
    <t xml:space="preserve">Tape 2X110 CLR 2MIL </t>
  </si>
  <si>
    <t>ITEM-0053</t>
  </si>
  <si>
    <t>Pure Cane Sugar</t>
  </si>
  <si>
    <t>ITEM-0054</t>
  </si>
  <si>
    <t>ITEM-0055</t>
  </si>
  <si>
    <t>ITEM-0056</t>
  </si>
  <si>
    <t>ITEM-0057</t>
  </si>
  <si>
    <t>7G0OE67H-BN92-HPVB-STJG-3VQXRZ87RMNA</t>
  </si>
  <si>
    <t>UISLYI0K-INIK-3HMK-AG41-AHCQETKO58ID</t>
  </si>
  <si>
    <t>85E6Y4CX-4PO1-TY8Q-SWZY-Y64Z1WBFJTGQ</t>
  </si>
  <si>
    <t>JL94IDR5-4S5G-WFKH-8IEV-PID9W0UCCRG4</t>
  </si>
  <si>
    <t>X8VQIZ4I-QUBX-NV6O-QYAS-D75HK2M4RCDG</t>
  </si>
  <si>
    <t>BVGBILHV-CWHD-DCSU-8D5P-2VXQ74EW6WAT</t>
  </si>
  <si>
    <t>AG8D7Z79-LX1Y-5RED-KHIL-C1DK7JY282U5</t>
  </si>
  <si>
    <t>N7EOTJBH-2YM3-04FW-Z96K-LSJQHBX42LXN</t>
  </si>
  <si>
    <t>1U0AT5OV-O0SK-QL13-HO1H-AHBZ4DPWH6U0</t>
  </si>
  <si>
    <t>LEUES949-AOE4-XEHC-5I6A-B3E4L1ESS9I7</t>
  </si>
  <si>
    <t>IURMXBD3-3LQO-FIEO-MEHJ-0NTJ7N9X4ZB2</t>
  </si>
  <si>
    <t>WID8XXQG-ONW4-5Z0U-5TDG-PBLSUQ1PJJ8E</t>
  </si>
  <si>
    <t>4P83X69X-V8QY-UGX2-ONI2-MFOCX79Y09KY</t>
  </si>
  <si>
    <t>RR00II20-28ZG-G8PB-6A4N-S195K2KFEWG1</t>
  </si>
  <si>
    <t>YOTXSF3T-7EUT-S3NV-BGS1-9I89DAXCPWJA</t>
  </si>
  <si>
    <t>BIJ7M2VB-3FHM-0ADU-VDDE-Y6280S9S52GC</t>
  </si>
  <si>
    <t>9YHFR554-WDU6-IEB7-D9ON-NQHNLF4XHR96</t>
  </si>
  <si>
    <t>6FFNW7EX-OA7Q-ZI8K-V4ZX-CAX272Z2TG30</t>
  </si>
  <si>
    <t>ZF00K285-RTAC-GBBV-76MQ-RKO7M5H35A8S</t>
  </si>
  <si>
    <t>D3LMKOLJ-DVGS-6SX1-PLHN-F8FG989VKU55</t>
  </si>
  <si>
    <t>BCKGP75H-J7ZS-N2ZB-R1D9-RPOULM3D0O1B</t>
  </si>
  <si>
    <t>ZECDAJYL-Q78A-9URK-9PYU-YBAO7GFTEBXF</t>
  </si>
  <si>
    <t>5YMSF1T5-SU0Y-D7RE-A6ZG-ZN3T188T1HYO</t>
  </si>
  <si>
    <t>JL7DFN5I-EW6F-3ODK-SLVD-OBV1OB0LG2V0</t>
  </si>
  <si>
    <t>RX28OJK2-GEH2-F19T-7R4C-E5CR42EE4ROX</t>
  </si>
  <si>
    <t>Made Items Added</t>
  </si>
  <si>
    <t>5KOTO5WF-2GNI-5IVZ-P609-2T40S566JBLA</t>
  </si>
  <si>
    <t>TMFQ8HPJ-AFX0-RAM9-7ULU-9GQTEZHNWYGD</t>
  </si>
  <si>
    <t>GMNLAGJW-M6G7-WTBD-CZGC-HHF8RAH1KJ54</t>
  </si>
  <si>
    <t>V987A2W9-88MO-MAXJ-UFB9-667GEC9TY32H</t>
  </si>
  <si>
    <t>IB04UEPC-F8V6-83PS-C2WU-DST916L9CQXK</t>
  </si>
  <si>
    <t>H9L0DCCZ-XDGD-VFOP-63EM-B1PQ8VPG3E4G</t>
  </si>
  <si>
    <t>VX6LDYPC-JFMU-MWAV-OJ9J-0PHYVXH8IY1T</t>
  </si>
  <si>
    <t>9KS7DK1Q-5HSA-CDW1-6Y5G-OE96J080WJZ5</t>
  </si>
  <si>
    <t>ZBT4K34S-4Z5O-N4OF-OD95-KVEZB1ZCEOMY</t>
  </si>
  <si>
    <t>Shipments Deducted</t>
  </si>
  <si>
    <t>WSRCQ5DM-WWI8-49MS-69KE-9FUEWNUHQDGS</t>
  </si>
  <si>
    <t>KUJ9AH6P-3WSQ-Q1D1-OW5Z-G1F8JI5X40BV</t>
  </si>
  <si>
    <t>LB566VWY-2ZOO-55YM-7IIB-8DGA65I4XKON</t>
  </si>
  <si>
    <t>JR3EBX6R-UW08-NAVY-PETK-XXVPSRD999HH</t>
  </si>
  <si>
    <t>6TVBWAZU-1WAQ-92N8-71E5-4JHJEMOPMWDK</t>
  </si>
  <si>
    <t>8HNPFM96-JZBQ-1GCM-KBHA-HZK2EUG57GMW</t>
  </si>
  <si>
    <t>M49BF8LJ-51H6-RWYS-3QC7-6NCA1W7XM0J9</t>
  </si>
  <si>
    <t>Y56N4X50-ED9G-Z2WL-M9CG-ULT5SUSY6BOM</t>
  </si>
  <si>
    <t>ZPBQH3ZJ-WKK0-WJVN-K5JB-SW524JL0N4MR</t>
  </si>
  <si>
    <t>ECWCGPBW-IMQG-NZHT-2LF8-HLXASLDS2PK3</t>
  </si>
  <si>
    <t>PDTO6EVD-RYJQ-V5GM-L4EH-5IE4JJYTM0PH</t>
  </si>
  <si>
    <t>1KONL69X-YTI7-B752-OP79-8X1J8JNRSH80</t>
  </si>
  <si>
    <t>PMGK6J20-6SRQ-XZXB-6DTU-FJNDVDY76343</t>
  </si>
  <si>
    <t>2FB9C6IH-D5QN-RRTZ-884A-Y9JMDYWC1WJ9</t>
  </si>
  <si>
    <t>QH26XJBL-K5Z5-DJL8-QVPV-5V4GZT8SEJED</t>
  </si>
  <si>
    <t>NX0E2LKE-C2CP-VOIL-8R04-UFKVLG3XQ887</t>
  </si>
  <si>
    <t>IRADXR0B-S9B2-UHSK-QQFP-I8OWAYRC7O92</t>
  </si>
  <si>
    <t>EY9WYPWF-CXCY-CKTQ-ORUX-FLFDSRDG0XTL</t>
  </si>
  <si>
    <t>9SIVSVCC-R4CB-BD3P-6RAI-3EKEH91VHCUG</t>
  </si>
  <si>
    <t>XUASD75F-Y4LT-X6VZ-OEV3-A05843DCUZPJ</t>
  </si>
  <si>
    <t>KV1PYJYJ-64UB-JYN8-62GO-HMR1QYOS8MLN</t>
  </si>
  <si>
    <t>Cascade Spices</t>
  </si>
  <si>
    <t>This is good for heartburn</t>
  </si>
  <si>
    <t>very nice aroma</t>
  </si>
  <si>
    <t>Black tea from Africa</t>
  </si>
  <si>
    <t>make really long text for orange because nothing rimes with orange. This means orange is the most special fruit of all, totally set apart from all others and completely unique except for all the other citrus that is like, but orange is arguably the best of them and orange is the best color also.</t>
  </si>
  <si>
    <t>4NGF6U7F-FADQ-FSK7-3VB3-8E4R9HQR4LQ2</t>
  </si>
  <si>
    <t>IA106GKS-1CJ7-696D-LB7Z-X3WZWKHJI5NE</t>
  </si>
  <si>
    <t>6CTXQSDW-9CSP-S1XN-3YSK-4PITJETZWSII</t>
  </si>
  <si>
    <t>MM3S1BJ5-74CC-0T76-LAJ6-T5LF2LRI5M8T</t>
  </si>
  <si>
    <t>19PD1XVI-T6IT-RATC-3PE3-ITDNQNJAK656</t>
  </si>
  <si>
    <t>OBHAL9OM-16RB-D2KL-LDZO-OFZHCIVQXT09</t>
  </si>
  <si>
    <t>E3I63H2H-FVTP-M2FL-Y99Z-HVANH6L7LOUI</t>
  </si>
  <si>
    <t>SQ3R33FU-1XZ6-CI1R-GP4W-5K2V49DZZ9RU</t>
  </si>
  <si>
    <t>6DPD3PS7-NZ5M-2ZNX-Z4ZT-U8U3RB4RETO7</t>
  </si>
  <si>
    <t>MNZ8D8XH-MSO9-BRWG-GGQE-JNXPBI39NNDI</t>
  </si>
  <si>
    <t>APR5YKQK-TSYS-XJOQ-Y4BZ-QAJJXDEQ1A9M</t>
  </si>
  <si>
    <t>W8WE516T-BJZN-D3EF-4LQ2-N7OBY5H5ZYQN</t>
  </si>
  <si>
    <t>M0XAN8KP-Q811-M39F-HI0D-FNZI3U7LNUKW</t>
  </si>
  <si>
    <t>0NJVNUW2-CB7H-CJVL-0XVA-4BRQQWZD1EH8</t>
  </si>
  <si>
    <t>OPAS77P5-JAG0-YCNV-ILGV-BYDJCRAUF1CC</t>
  </si>
  <si>
    <t>4ZLNIQVF-I30N-73WE-ZX7G-0DG6WY9COV1N</t>
  </si>
  <si>
    <t>IM69IC8S-4563-XKIK-HC2D-P28EJ0143FZ0</t>
  </si>
  <si>
    <t>YWH3SVE1-2XQR-6CR3-YOTZ-EHB037ZNC9OC</t>
  </si>
  <si>
    <t>MY80D775-AXZ9-R4JD-GBFK-L3WUP2B3PWJF</t>
  </si>
  <si>
    <t>TOTAL INV LAST EDIT</t>
  </si>
  <si>
    <t>UPJ7F1NY-9JE9-1G4X-WR04-TP96DWBLQ7G9</t>
  </si>
  <si>
    <t>HMHMPRV8-QFSP-OLJ3-4W7Q-GAX4R02ZLOWC</t>
  </si>
  <si>
    <t>UDOK6I0H-XWD9-8B99-KRWK-4WDTK0V713DM</t>
  </si>
  <si>
    <t>02078F67-Z3MV-C8WB-IG7R-DHFB51I1AYZ4</t>
  </si>
  <si>
    <t>7JH7ZR9Q-5COA-AOL6-5ZB5-V0TAXTVWUZUV</t>
  </si>
  <si>
    <t>EB113M7E-O7P7-I888-QQK0-IFOCVI2GPRFA</t>
  </si>
  <si>
    <t>SYMN38KR-AAWN-9OUF-85FX-64GKJKU83BCN</t>
  </si>
  <si>
    <t>ZTQ6T19B-N4C9-M4YV-Q9GU-DLPL3Z92E348</t>
  </si>
  <si>
    <t>MUXSNM88-F4J5-G3NX-X9GP-7Y4WGY8FLQKR</t>
  </si>
  <si>
    <t>FR2OX0FM-GKJ6-782B-W5MY-9FWTP31EE337</t>
  </si>
  <si>
    <t>725BBS2N-FH8O-Y5Q0-SHIK-OJIEYLWQIBR9</t>
  </si>
  <si>
    <t>SD9ZCK8R-DUM6-FQVV-GW42-1OENB1VXUPD1</t>
  </si>
  <si>
    <t>O6HJ36ZR-H6L4-Y7G3-SOA7-Y4KVO1SFI41F</t>
  </si>
  <si>
    <t>WBKVCJAJ-58D2-E968-BDJD-LSV042HY0B7M</t>
  </si>
  <si>
    <t>WXRX59WL-9Y0R-ETYS-68FA-5225CCVBGFL7</t>
  </si>
  <si>
    <t>KZJUQLPO-GYAA-0LQ1-OW0V-BOOZZ66ST2GB</t>
  </si>
  <si>
    <t>09TP04VY-FQTX-8DZK-58RH-14RLID5A2W5M</t>
  </si>
  <si>
    <t>EWFB0Q7B-1SZD-YTLQ-ONME-PSJT6FW2HH3Z</t>
  </si>
  <si>
    <t>ROW</t>
  </si>
  <si>
    <t>RECIPE</t>
  </si>
  <si>
    <t>PROCESS</t>
  </si>
  <si>
    <t>INGREDIENT</t>
  </si>
  <si>
    <t>CUMULATIVE</t>
  </si>
  <si>
    <t>PRICE</t>
  </si>
  <si>
    <t>Black Scottie Chai Classic</t>
  </si>
  <si>
    <t>1-BREWING</t>
  </si>
  <si>
    <t>Black Tea</t>
  </si>
  <si>
    <t>2-SPICE BLEND</t>
  </si>
  <si>
    <t>Black Pepper (Whole)</t>
  </si>
  <si>
    <t>Cloves (Ground)</t>
  </si>
  <si>
    <t>Cassia Oil 340139</t>
  </si>
  <si>
    <t>Lemon Oil (5x) 340138</t>
  </si>
  <si>
    <t>Orange Oil (Cold Pressed)</t>
  </si>
  <si>
    <t>INPUT/OUTPUT</t>
  </si>
  <si>
    <t>Classic Chai Spice Blend</t>
  </si>
  <si>
    <t>Brown Color</t>
  </si>
  <si>
    <t>3-COOK CHAI</t>
  </si>
  <si>
    <t>Brewed Black Tea</t>
  </si>
  <si>
    <t>Apple Wassail Classic</t>
  </si>
  <si>
    <t>32 brix included</t>
  </si>
  <si>
    <t>1-SPICE BLEND</t>
  </si>
  <si>
    <t>Ground Cinnamon</t>
  </si>
  <si>
    <t>Ground Clove</t>
  </si>
  <si>
    <t>Allspice</t>
  </si>
  <si>
    <t>Ginger</t>
  </si>
  <si>
    <t>Lemon powder or Lemon juice?</t>
  </si>
  <si>
    <t>Lemon Powder</t>
  </si>
  <si>
    <t>Classic Apple Wassail Spice Blend</t>
  </si>
  <si>
    <t>2-COOK WASSAIL</t>
  </si>
  <si>
    <t>70 Brix Apple Concentrate</t>
  </si>
  <si>
    <t>ITEM-0058</t>
  </si>
  <si>
    <t>FruitSmart</t>
  </si>
  <si>
    <t>32 Brix Apple puree</t>
  </si>
  <si>
    <t>ITEM-0059</t>
  </si>
  <si>
    <t>currently not available</t>
  </si>
  <si>
    <t>C&amp;H</t>
  </si>
  <si>
    <t>ITEM-0060</t>
  </si>
  <si>
    <t>ZucarMex</t>
  </si>
  <si>
    <t>Apple WONF Carmi #758447</t>
  </si>
  <si>
    <t>DEPARTMENT</t>
  </si>
  <si>
    <t>Production</t>
  </si>
  <si>
    <t>Filtered Water</t>
  </si>
  <si>
    <t>ITEM-0061</t>
  </si>
  <si>
    <t>used a lot but not stocked</t>
  </si>
  <si>
    <t>Publi Utility</t>
  </si>
  <si>
    <t>Apple Wassail Alternate</t>
  </si>
  <si>
    <t>Currently used recipe because some ingredients are not available</t>
  </si>
  <si>
    <t>Cardamom (Decorticated)</t>
  </si>
  <si>
    <t>Alt Apple Wassail Spice Blend</t>
  </si>
  <si>
    <t>Apple Sauce</t>
  </si>
  <si>
    <t>Lemon Juice</t>
  </si>
  <si>
    <t>3-COOK WASSAIL</t>
  </si>
  <si>
    <t>4-COOK CHAI</t>
  </si>
  <si>
    <t>1-BOTTLE CHAI</t>
  </si>
  <si>
    <t>38/400 Black</t>
  </si>
  <si>
    <t>1-BOTTLE WASSAIL</t>
  </si>
  <si>
    <t>Rcount</t>
  </si>
  <si>
    <t>VENDOR</t>
  </si>
  <si>
    <t>ENTRY_DATE</t>
  </si>
  <si>
    <t>TALLY_ROW</t>
  </si>
  <si>
    <t>Rcode</t>
  </si>
  <si>
    <t>AMOUNT</t>
  </si>
  <si>
    <t>lbs</t>
  </si>
  <si>
    <t>ea</t>
  </si>
  <si>
    <t>SUBSTITUTION</t>
  </si>
  <si>
    <t>PERCENT</t>
  </si>
  <si>
    <t>SAVED LIST</t>
  </si>
  <si>
    <t>prd</t>
  </si>
  <si>
    <t>shp</t>
  </si>
  <si>
    <t>rcv</t>
  </si>
  <si>
    <t>DEPARTMENT CODES</t>
  </si>
  <si>
    <t>TABLE NAME</t>
  </si>
  <si>
    <t>INGREDIENTS</t>
  </si>
  <si>
    <t>CODES</t>
  </si>
  <si>
    <t>Column1</t>
  </si>
  <si>
    <t>UFGD8TUS-L7E4-RGMT-Z6SP-C88PMUIX0I1X</t>
  </si>
  <si>
    <t>REF_NUMBER</t>
  </si>
  <si>
    <t>Chai (8 oz)</t>
  </si>
  <si>
    <t>Apple Wassail (64 oz)</t>
  </si>
  <si>
    <t>LOM</t>
  </si>
  <si>
    <t>btnSend_Click</t>
  </si>
  <si>
    <t>UserForm_Initialize</t>
  </si>
  <si>
    <t>UpdateInventory</t>
  </si>
  <si>
    <t>FindRowByValue</t>
  </si>
  <si>
    <t>LogInventoryChange</t>
  </si>
  <si>
    <t>GetUOMFromDataTable</t>
  </si>
  <si>
    <t>CommitSelectionAndClose</t>
  </si>
  <si>
    <t>DeleteExistingDataForCell</t>
  </si>
  <si>
    <t>FillDataTableRow</t>
  </si>
  <si>
    <t>SetTallyRowNumber</t>
  </si>
  <si>
    <t>GetVendorByItem</t>
  </si>
  <si>
    <t>GetLocationByItem</t>
  </si>
  <si>
    <t>GetItemUOMByRowNum</t>
  </si>
  <si>
    <t>frmShipmentsTally</t>
  </si>
  <si>
    <t>frmReceivedTally</t>
  </si>
  <si>
    <t>Subsystem</t>
  </si>
  <si>
    <t>Old procedure(s)</t>
  </si>
  <si>
    <t>New replacement</t>
  </si>
  <si>
    <t>Status</t>
  </si>
  <si>
    <t>Notes</t>
  </si>
  <si>
    <t>Stage</t>
  </si>
  <si>
    <t>Tweak</t>
  </si>
  <si>
    <t>Difficulty</t>
  </si>
  <si>
    <t>**A</t>
  </si>
  <si>
    <t>Better clean-up**</t>
  </si>
  <si>
    <t>• Strip line continuations (_) and concatenate.• Remove strings ("…"), so "Print(" isn’t mistaken for a call.</t>
  </si>
  <si>
    <t>**B</t>
  </si>
  <si>
    <t>Ignore built-ins**</t>
  </si>
  <si>
    <t>Keep a hash-set of VBA keywords &amp; worksheet functions; discard matches in that list.</t>
  </si>
  <si>
    <t>**C</t>
  </si>
  <si>
    <t>Track Declares &amp; API names**</t>
  </si>
  <si>
    <t>Parse Declare statements into a collection of known externals and ignore them later.</t>
  </si>
  <si>
    <t>**D</t>
  </si>
  <si>
    <t>Handle CallByName / Application.Run**</t>
  </si>
  <si>
    <t>**E</t>
  </si>
  <si>
    <t>Light tokenizer**</t>
  </si>
  <si>
    <t>Instead of regex, read the body char-by-char:</t>
  </si>
  <si>
    <t>Regex CallByName\s*\(\s*\w+\s*,\s*"(.*?)" → treat that string arg as a callee.Add Application.Run " capture.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</si>
</sst>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409]m/d/yy\ h:mm\ AM/PM;@"/>
    <numFmt numFmtId="165" formatCode="0.000%"/>
    <numFmt numFmtId="166" formatCode="0.000"/>
  </numFmts>
  <fonts count="28">
    <font>
      <sz val="12"/>
      <color theme="1"/>
      <name val="Aptos Narrow"/>
      <family val="2"/>
      <scheme val="minor"/>
    </font>
    <font>
      <sz val="12"/>
      <color theme="1"/>
      <name val="Calling Code"/>
      <family val="3"/>
    </font>
    <font>
      <sz val="12"/>
      <color rgb="FF000000"/>
      <name val="Calling Code"/>
      <family val="3"/>
    </font>
    <font>
      <sz val="8"/>
      <name val="Aptos Narrow"/>
      <family val="2"/>
      <scheme val="minor"/>
    </font>
    <font>
      <b/>
      <sz val="14"/>
      <color theme="1"/>
      <name val="Calling Code"/>
      <family val="3"/>
    </font>
    <font>
      <sz val="12"/>
      <color rgb="FF000000"/>
      <name val="Wandohope"/>
      <family val="1"/>
      <charset val="128"/>
    </font>
    <font>
      <sz val="12"/>
      <color rgb="FF000000"/>
      <name val="Aptos Narrow"/>
      <family val="2"/>
    </font>
    <font>
      <u/>
      <sz val="12"/>
      <color theme="10"/>
      <name val="Aptos Narrow"/>
      <family val="2"/>
      <scheme val="minor"/>
    </font>
    <font>
      <b/>
      <sz val="14"/>
      <color rgb="FF000000"/>
      <name val="Wandohope"/>
      <family val="1"/>
      <charset val="128"/>
    </font>
    <font>
      <b/>
      <sz val="12"/>
      <color theme="0"/>
      <name val="Aptos Narrow"/>
      <family val="2"/>
      <scheme val="minor"/>
    </font>
    <font>
      <b/>
      <sz val="12"/>
      <color theme="1"/>
      <name val="Aptos Narrow"/>
      <family val="2"/>
      <scheme val="minor"/>
    </font>
    <font>
      <sz val="12"/>
      <color theme="0"/>
      <name val="Aptos Narrow"/>
      <family val="2"/>
      <scheme val="minor"/>
    </font>
    <font>
      <sz val="14"/>
      <color rgb="FF000000"/>
      <name val="Bradley Hand ITC"/>
      <family val="4"/>
    </font>
    <font>
      <b/>
      <sz val="14"/>
      <color rgb="FF000000"/>
      <name val="Bradley Hand ITC"/>
      <family val="4"/>
    </font>
    <font>
      <sz val="14"/>
      <color theme="1"/>
      <name val="Bradley Hand ITC"/>
      <family val="4"/>
    </font>
    <font>
      <b/>
      <sz val="18"/>
      <color theme="1"/>
      <name val="Calling Code"/>
      <family val="3"/>
    </font>
    <font>
      <b/>
      <sz val="12"/>
      <color theme="0"/>
      <name val="Calling Code"/>
      <family val="3"/>
    </font>
    <font>
      <i/>
      <sz val="12"/>
      <color theme="1"/>
      <name val="Calling Code"/>
      <family val="3"/>
    </font>
    <font>
      <sz val="12"/>
      <color theme="1"/>
      <name val="Aptos Narrow"/>
      <family val="2"/>
      <scheme val="minor"/>
    </font>
    <font>
      <sz val="10"/>
      <name val="Arial"/>
      <family val="2"/>
    </font>
    <font>
      <sz val="10"/>
      <color rgb="FFFF0000"/>
      <name val="Arial"/>
      <family val="2"/>
    </font>
    <font>
      <b/>
      <sz val="10"/>
      <name val="Arial"/>
      <family val="2"/>
    </font>
    <font>
      <b/>
      <sz val="9"/>
      <color indexed="81"/>
      <name val="Tahoma"/>
      <family val="2"/>
    </font>
    <font>
      <sz val="9"/>
      <color indexed="81"/>
      <name val="Tahoma"/>
      <family val="2"/>
    </font>
    <font>
      <sz val="11"/>
      <color rgb="FFD4D4D4"/>
      <name val="Consolas"/>
      <family val="3"/>
    </font>
    <font>
      <sz val="11"/>
      <color rgb="FF61AFEF"/>
      <name val="Consolas"/>
      <family val="3"/>
    </font>
    <font>
      <sz val="12"/>
      <color theme="1"/>
      <name val="Consolas"/>
      <family val="3"/>
    </font>
    <font>
      <b/>
      <sz val="12"/>
      <color theme="1"/>
      <name val="Consolas"/>
      <family val="3"/>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6"/>
      </patternFill>
    </fill>
    <fill>
      <patternFill patternType="solid">
        <fgColor theme="6"/>
        <bgColor theme="6"/>
      </patternFill>
    </fill>
    <fill>
      <patternFill patternType="solid">
        <fgColor theme="6" tint="0.59999389629810485"/>
        <bgColor theme="6" tint="0.59999389629810485"/>
      </patternFill>
    </fill>
    <fill>
      <patternFill patternType="solid">
        <fgColor theme="6" tint="0.79998168889431442"/>
        <bgColor theme="6" tint="0.79998168889431442"/>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s>
  <cellStyleXfs count="5">
    <xf numFmtId="0" fontId="0" fillId="0" borderId="0"/>
    <xf numFmtId="0" fontId="7" fillId="0" borderId="0" applyNumberFormat="0" applyFill="0" applyBorder="0" applyAlignment="0" applyProtection="0"/>
    <xf numFmtId="0" fontId="11" fillId="4" borderId="0" applyNumberFormat="0" applyBorder="0" applyAlignment="0" applyProtection="0"/>
    <xf numFmtId="9" fontId="18" fillId="0" borderId="0" applyFont="0" applyFill="0" applyBorder="0" applyAlignment="0" applyProtection="0"/>
    <xf numFmtId="44" fontId="18" fillId="0" borderId="0" applyFont="0" applyFill="0" applyBorder="0" applyAlignment="0" applyProtection="0"/>
  </cellStyleXfs>
  <cellXfs count="73">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horizontal="right"/>
    </xf>
    <xf numFmtId="0" fontId="2" fillId="0" borderId="0" xfId="0" applyFont="1"/>
    <xf numFmtId="0" fontId="1" fillId="0" borderId="0" xfId="0" applyFont="1" applyAlignment="1">
      <alignment horizontal="left"/>
    </xf>
    <xf numFmtId="2" fontId="1" fillId="0" borderId="0" xfId="0" applyNumberFormat="1" applyFont="1" applyAlignment="1">
      <alignment horizontal="left"/>
    </xf>
    <xf numFmtId="2" fontId="1" fillId="0" borderId="0" xfId="0" applyNumberFormat="1" applyFont="1" applyAlignment="1">
      <alignment horizontal="center"/>
    </xf>
    <xf numFmtId="0" fontId="9" fillId="2" borderId="3" xfId="0" applyFont="1" applyFill="1" applyBorder="1"/>
    <xf numFmtId="0" fontId="7" fillId="3" borderId="3" xfId="1" applyFill="1" applyBorder="1"/>
    <xf numFmtId="0" fontId="7" fillId="0" borderId="1" xfId="1" applyBorder="1"/>
    <xf numFmtId="0" fontId="9" fillId="2" borderId="4" xfId="0" applyFont="1" applyFill="1" applyBorder="1"/>
    <xf numFmtId="0" fontId="0" fillId="3" borderId="4" xfId="0" applyFill="1" applyBorder="1"/>
    <xf numFmtId="0" fontId="0" fillId="0" borderId="2" xfId="0" applyBorder="1"/>
    <xf numFmtId="2" fontId="2" fillId="0" borderId="0" xfId="0" applyNumberFormat="1" applyFont="1" applyAlignment="1">
      <alignment horizontal="center"/>
    </xf>
    <xf numFmtId="2" fontId="4" fillId="0" borderId="0" xfId="0" applyNumberFormat="1" applyFont="1" applyAlignment="1">
      <alignment horizontal="center"/>
    </xf>
    <xf numFmtId="2" fontId="4" fillId="0" borderId="0" xfId="0" applyNumberFormat="1" applyFont="1" applyAlignment="1">
      <alignment horizontal="left"/>
    </xf>
    <xf numFmtId="164" fontId="1" fillId="0" borderId="0" xfId="0" applyNumberFormat="1" applyFont="1"/>
    <xf numFmtId="164" fontId="1" fillId="0" borderId="0" xfId="0" applyNumberFormat="1" applyFont="1" applyAlignment="1">
      <alignment horizontal="center"/>
    </xf>
    <xf numFmtId="0" fontId="10" fillId="0" borderId="0" xfId="0" applyFont="1" applyAlignment="1">
      <alignment horizontal="center" vertical="center" wrapText="1"/>
    </xf>
    <xf numFmtId="0" fontId="0" fillId="0" borderId="0" xfId="0" applyAlignment="1">
      <alignment horizontal="center" vertical="center" wrapText="1"/>
    </xf>
    <xf numFmtId="22" fontId="1" fillId="0" borderId="0" xfId="0" applyNumberFormat="1" applyFont="1"/>
    <xf numFmtId="2" fontId="1" fillId="0" borderId="0" xfId="0" applyNumberFormat="1" applyFont="1"/>
    <xf numFmtId="15" fontId="1" fillId="0" borderId="0" xfId="0" applyNumberFormat="1" applyFont="1"/>
    <xf numFmtId="0" fontId="11" fillId="4" borderId="0" xfId="2"/>
    <xf numFmtId="0" fontId="11" fillId="0" borderId="0" xfId="2" applyFill="1"/>
    <xf numFmtId="0" fontId="1" fillId="0" borderId="0" xfId="2" applyFont="1" applyFill="1" applyAlignment="1">
      <alignment horizontal="left"/>
    </xf>
    <xf numFmtId="0" fontId="12" fillId="0" borderId="0" xfId="0" applyFont="1" applyAlignment="1">
      <alignment horizontal="left" vertical="center" indent="1"/>
    </xf>
    <xf numFmtId="0" fontId="13" fillId="0" borderId="0" xfId="0" applyFont="1" applyAlignment="1">
      <alignment horizontal="left" vertical="center" indent="1"/>
    </xf>
    <xf numFmtId="0" fontId="13" fillId="0" borderId="0" xfId="0" applyFont="1" applyAlignment="1">
      <alignment horizontal="left" vertical="center" indent="2"/>
    </xf>
    <xf numFmtId="0" fontId="12" fillId="0" borderId="0" xfId="0" applyFont="1" applyAlignment="1">
      <alignment horizontal="left" vertical="center" indent="2"/>
    </xf>
    <xf numFmtId="0" fontId="7" fillId="0" borderId="0" xfId="1" applyAlignment="1">
      <alignment horizontal="left" vertical="center" indent="2"/>
    </xf>
    <xf numFmtId="0" fontId="14" fillId="0" borderId="0" xfId="0" applyFont="1" applyAlignment="1">
      <alignment horizontal="left" vertical="center" indent="1"/>
    </xf>
    <xf numFmtId="0" fontId="7" fillId="0" borderId="0" xfId="1"/>
    <xf numFmtId="0" fontId="11" fillId="4" borderId="0" xfId="2" applyAlignment="1">
      <alignment horizontal="left" vertical="center" indent="1"/>
    </xf>
    <xf numFmtId="0" fontId="14" fillId="0" borderId="0" xfId="0" applyFont="1" applyAlignment="1">
      <alignment vertical="center"/>
    </xf>
    <xf numFmtId="0" fontId="7" fillId="0" borderId="0" xfId="1" applyAlignment="1">
      <alignment vertical="center"/>
    </xf>
    <xf numFmtId="14" fontId="10" fillId="0" borderId="0" xfId="0" applyNumberFormat="1" applyFont="1" applyAlignment="1">
      <alignment horizontal="center" vertical="center" wrapText="1"/>
    </xf>
    <xf numFmtId="0" fontId="15" fillId="0" borderId="0" xfId="0" applyFont="1" applyAlignment="1">
      <alignment horizontal="center"/>
    </xf>
    <xf numFmtId="0" fontId="1" fillId="0" borderId="0" xfId="0" applyFont="1" applyAlignment="1">
      <alignment horizontal="center" vertical="top"/>
    </xf>
    <xf numFmtId="0" fontId="1" fillId="0" borderId="0" xfId="0" applyFont="1" applyAlignment="1">
      <alignment horizontal="center" vertical="center"/>
    </xf>
    <xf numFmtId="0" fontId="1" fillId="0" borderId="0" xfId="0" applyFont="1" applyAlignment="1">
      <alignment vertical="center"/>
    </xf>
    <xf numFmtId="0" fontId="1" fillId="0" borderId="0" xfId="0" applyFont="1" applyAlignment="1">
      <alignment horizontal="left" vertical="center"/>
    </xf>
    <xf numFmtId="0" fontId="15" fillId="0" borderId="0" xfId="0" applyFont="1" applyAlignment="1">
      <alignment horizontal="left" vertical="center"/>
    </xf>
    <xf numFmtId="0" fontId="16" fillId="5" borderId="0" xfId="0" applyFont="1" applyFill="1"/>
    <xf numFmtId="0" fontId="1" fillId="6" borderId="0" xfId="0" applyFont="1" applyFill="1" applyAlignment="1">
      <alignment horizontal="center"/>
    </xf>
    <xf numFmtId="0" fontId="1" fillId="7" borderId="0" xfId="0" applyFont="1" applyFill="1" applyAlignment="1">
      <alignment horizontal="center"/>
    </xf>
    <xf numFmtId="0" fontId="16" fillId="5" borderId="0" xfId="0" applyFont="1" applyFill="1" applyAlignment="1">
      <alignment horizontal="center"/>
    </xf>
    <xf numFmtId="0" fontId="1" fillId="0" borderId="0" xfId="0" applyFont="1" applyAlignment="1">
      <alignment vertical="top"/>
    </xf>
    <xf numFmtId="22" fontId="1" fillId="0" borderId="0" xfId="0" applyNumberFormat="1" applyFont="1" applyAlignment="1">
      <alignment vertical="top"/>
    </xf>
    <xf numFmtId="22" fontId="1" fillId="0" borderId="0" xfId="0" applyNumberFormat="1" applyFont="1" applyAlignment="1">
      <alignment horizontal="center" vertical="top"/>
    </xf>
    <xf numFmtId="0" fontId="17" fillId="0" borderId="0" xfId="0" applyFont="1"/>
    <xf numFmtId="49" fontId="0" fillId="0" borderId="0" xfId="0" applyNumberFormat="1"/>
    <xf numFmtId="49" fontId="1" fillId="0" borderId="0" xfId="0" applyNumberFormat="1" applyFont="1" applyAlignment="1">
      <alignment horizontal="center" vertical="top"/>
    </xf>
    <xf numFmtId="49" fontId="1" fillId="0" borderId="0" xfId="0" applyNumberFormat="1" applyFont="1" applyAlignment="1">
      <alignment horizontal="center"/>
    </xf>
    <xf numFmtId="22" fontId="0" fillId="0" borderId="0" xfId="0" applyNumberFormat="1"/>
    <xf numFmtId="165" fontId="18" fillId="0" borderId="0" xfId="3" applyNumberFormat="1" applyBorder="1"/>
    <xf numFmtId="165" fontId="20" fillId="0" borderId="0" xfId="3" applyNumberFormat="1" applyFont="1" applyBorder="1"/>
    <xf numFmtId="165" fontId="1" fillId="0" borderId="0" xfId="3" applyNumberFormat="1" applyFont="1" applyAlignment="1">
      <alignment horizontal="center" vertical="center"/>
    </xf>
    <xf numFmtId="165" fontId="1" fillId="0" borderId="0" xfId="3" applyNumberFormat="1" applyFont="1"/>
    <xf numFmtId="165" fontId="21" fillId="0" borderId="0" xfId="3" applyNumberFormat="1" applyFont="1" applyBorder="1"/>
    <xf numFmtId="165" fontId="1" fillId="0" borderId="0" xfId="3" applyNumberFormat="1" applyFont="1" applyAlignment="1">
      <alignment vertical="center"/>
    </xf>
    <xf numFmtId="165" fontId="20" fillId="0" borderId="0" xfId="0" applyNumberFormat="1" applyFont="1"/>
    <xf numFmtId="165" fontId="19" fillId="0" borderId="0" xfId="0" applyNumberFormat="1" applyFont="1"/>
    <xf numFmtId="166" fontId="1" fillId="0" borderId="0" xfId="0" applyNumberFormat="1" applyFont="1"/>
    <xf numFmtId="166" fontId="1" fillId="0" borderId="0" xfId="0" applyNumberFormat="1" applyFont="1" applyAlignment="1">
      <alignment horizontal="center" vertical="center"/>
    </xf>
    <xf numFmtId="0" fontId="0" fillId="0" borderId="0" xfId="0" applyAlignment="1">
      <alignment horizontal="center"/>
    </xf>
    <xf numFmtId="10" fontId="19" fillId="0" borderId="0" xfId="0" applyNumberFormat="1" applyFont="1"/>
    <xf numFmtId="44" fontId="0" fillId="0" borderId="0" xfId="4" applyFont="1"/>
    <xf numFmtId="0" fontId="25" fillId="0" borderId="0" xfId="0" applyFont="1" applyAlignment="1">
      <alignment vertical="center"/>
    </xf>
    <xf numFmtId="0" fontId="24" fillId="0" borderId="0" xfId="0" applyFont="1" applyAlignment="1">
      <alignment vertical="center"/>
    </xf>
    <xf numFmtId="0" fontId="27" fillId="0" borderId="0" xfId="0" applyFont="1" applyAlignment="1">
      <alignment vertical="center" wrapText="1"/>
    </xf>
    <xf numFmtId="0" fontId="26" fillId="0" borderId="0" xfId="0" applyFont="1" applyAlignment="1">
      <alignment vertical="center" wrapText="1"/>
    </xf>
  </cellXfs>
  <cellStyles count="5">
    <cellStyle name="Accent3" xfId="2" builtinId="37"/>
    <cellStyle name="Currency" xfId="4" builtinId="4"/>
    <cellStyle name="Hyperlink" xfId="1" builtinId="8"/>
    <cellStyle name="Normal" xfId="0" builtinId="0"/>
    <cellStyle name="Percent" xfId="3" builtinId="5"/>
  </cellStyles>
  <dxfs count="110">
    <dxf>
      <font>
        <b/>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border outline="0">
        <right style="thin">
          <color theme="4" tint="0.39997558519241921"/>
        </right>
      </border>
    </dxf>
    <dxf>
      <font>
        <b/>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2"/>
        <color theme="1"/>
        <name val="Aptos Narrow"/>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numFmt numFmtId="2" formatCode="0.00"/>
    </dxf>
    <dxf>
      <font>
        <strike val="0"/>
        <outline val="0"/>
        <shadow val="0"/>
        <u val="none"/>
        <vertAlign val="baseline"/>
        <sz val="12"/>
        <color theme="1"/>
        <name val="Calling Code"/>
        <family val="3"/>
        <scheme val="none"/>
      </font>
      <numFmt numFmtId="2" formatCode="0.00"/>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numFmt numFmtId="166" formatCode="0.00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numFmt numFmtId="165" formatCode="0.00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left"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textRotation="0" wrapText="0" justifyLastLine="0" shrinkToFit="0" readingOrder="0"/>
    </dxf>
    <dxf>
      <font>
        <b val="0"/>
        <i val="0"/>
        <strike val="0"/>
        <condense val="0"/>
        <extend val="0"/>
        <outline val="0"/>
        <shadow val="0"/>
        <u val="none"/>
        <vertAlign val="baseline"/>
        <sz val="12"/>
        <color theme="1"/>
        <name val="Calling Code"/>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61AFEF"/>
        <name val="Consolas"/>
        <family val="3"/>
        <scheme val="none"/>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1"/>
        <color rgb="FFD4D4D4"/>
        <name val="Consolas"/>
        <family val="3"/>
        <scheme val="none"/>
      </font>
      <alignment horizontal="general" vertic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numFmt numFmtId="30" formatCode="@"/>
      <alignment horizontal="center"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alignment horizontal="center" vertical="top" textRotation="0" wrapText="0" indent="0" justifyLastLine="0" shrinkToFit="0" readingOrder="0"/>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dxf>
    <dxf>
      <font>
        <strike val="0"/>
        <outline val="0"/>
        <shadow val="0"/>
        <u val="none"/>
        <vertAlign val="baseline"/>
        <sz val="12"/>
        <color theme="1"/>
        <name val="Calling Code"/>
        <family val="3"/>
        <scheme val="none"/>
      </font>
      <alignment horizontal="center" vertical="top"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30" formatCode="@"/>
      <alignment horizontal="center" vertical="top"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top"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strike val="0"/>
        <outline val="0"/>
        <shadow val="0"/>
        <u val="none"/>
        <vertAlign val="baseline"/>
        <sz val="12"/>
        <color theme="1"/>
        <name val="Calling Code"/>
        <family val="3"/>
        <scheme val="none"/>
      </font>
      <alignment horizontal="center" vertical="top"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numFmt numFmtId="164" formatCode="[$-409]m/d/yy\ h:mm\ AM/PM;@"/>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i val="0"/>
        <strike val="0"/>
        <condense val="0"/>
        <extend val="0"/>
        <outline val="0"/>
        <shadow val="0"/>
        <u val="none"/>
        <vertAlign val="baseline"/>
        <sz val="14"/>
        <color theme="1"/>
        <name val="Calling Code"/>
        <family val="3"/>
        <scheme val="none"/>
      </font>
      <alignment horizontal="center" vertical="bottom" textRotation="0" wrapText="0" indent="0" justifyLastLine="0" shrinkToFit="0" readingOrder="0"/>
    </dxf>
    <dxf>
      <font>
        <b/>
        <i val="0"/>
        <strike val="0"/>
        <condense val="0"/>
        <extend val="0"/>
        <outline val="0"/>
        <shadow val="0"/>
        <u val="none"/>
        <vertAlign val="baseline"/>
        <sz val="14"/>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right"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right"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Calling Code"/>
        <family val="3"/>
        <scheme val="none"/>
      </font>
      <alignment horizontal="center" vertical="bottom" textRotation="0" wrapText="0" indent="0" justifyLastLine="0" shrinkToFit="0" readingOrder="0"/>
    </dxf>
  </dxfs>
  <tableStyles count="1" defaultTableStyle="TableStyleMedium2" defaultPivotStyle="PivotStyleLight16">
    <tableStyle name="Invisible" pivot="0" table="0" count="0" xr9:uid="{AE14922D-8521-42BD-8B9E-12439FA3DAA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450850</xdr:colOff>
          <xdr:row>0</xdr:row>
          <xdr:rowOff>31750</xdr:rowOff>
        </xdr:from>
        <xdr:to>
          <xdr:col>13</xdr:col>
          <xdr:colOff>590550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ADD MADE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0</xdr:row>
          <xdr:rowOff>31750</xdr:rowOff>
        </xdr:from>
        <xdr:to>
          <xdr:col>12</xdr:col>
          <xdr:colOff>438150</xdr:colOff>
          <xdr:row>0</xdr:row>
          <xdr:rowOff>438150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DEDUCT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0</xdr:row>
          <xdr:rowOff>31750</xdr:rowOff>
        </xdr:from>
        <xdr:to>
          <xdr:col>11</xdr:col>
          <xdr:colOff>298450</xdr:colOff>
          <xdr:row>0</xdr:row>
          <xdr:rowOff>469900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ADD GOODS RECEIVED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660400</xdr:colOff>
          <xdr:row>0</xdr:row>
          <xdr:rowOff>31750</xdr:rowOff>
        </xdr:from>
        <xdr:to>
          <xdr:col>15</xdr:col>
          <xdr:colOff>317500</xdr:colOff>
          <xdr:row>0</xdr:row>
          <xdr:rowOff>438150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DEDUCT SHIPMENTS</a:t>
              </a:r>
            </a:p>
          </xdr:txBody>
        </xdr:sp>
        <xdr:clientData fPrintsWithSheet="0"/>
      </xdr:twoCellAnchor>
    </mc:Choice>
    <mc:Fallback/>
  </mc:AlternateContent>
  <xdr:twoCellAnchor>
    <xdr:from>
      <xdr:col>20</xdr:col>
      <xdr:colOff>314324</xdr:colOff>
      <xdr:row>2</xdr:row>
      <xdr:rowOff>85724</xdr:rowOff>
    </xdr:from>
    <xdr:to>
      <xdr:col>25</xdr:col>
      <xdr:colOff>495300</xdr:colOff>
      <xdr:row>40</xdr:row>
      <xdr:rowOff>238125</xdr:rowOff>
    </xdr:to>
    <xdr:sp macro="" textlink="">
      <xdr:nvSpPr>
        <xdr:cNvPr id="3167" name="TextBox 1">
          <a:extLst>
            <a:ext uri="{FF2B5EF4-FFF2-40B4-BE49-F238E27FC236}">
              <a16:creationId xmlns:a16="http://schemas.microsoft.com/office/drawing/2014/main" id="{80D67CE2-FC11-1A1C-698D-147BD0B8E468}"/>
            </a:ext>
            <a:ext uri="{147F2762-F138-4A5C-976F-8EAC2B608ADB}">
              <a16:predDERef xmlns:a16="http://schemas.microsoft.com/office/drawing/2014/main" pred="{00000000-0008-0000-0000-0000050C0000}"/>
            </a:ext>
          </a:extLst>
        </xdr:cNvPr>
        <xdr:cNvSpPr txBox="1"/>
      </xdr:nvSpPr>
      <xdr:spPr>
        <a:xfrm>
          <a:off x="21545549" y="752474"/>
          <a:ext cx="3609976" cy="2133601"/>
        </a:xfrm>
        <a:prstGeom prst="rect">
          <a:avLst/>
        </a:prstGeom>
        <a:blipFill>
          <a:blip xmlns:r="http://schemas.openxmlformats.org/officeDocument/2006/relationships" r:embed="rId1"/>
          <a:tile tx="0" ty="0" sx="100000" sy="100000" flip="none" algn="tl"/>
        </a:bli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Wandohope" panose="02030603000000000000" pitchFamily="18" charset="-128"/>
              <a:ea typeface="Wandohope" panose="02030603000000000000" pitchFamily="18" charset="-128"/>
              <a:cs typeface="+mn-cs"/>
            </a:rPr>
            <a:t>enter</a:t>
          </a:r>
          <a:r>
            <a:rPr lang="en-US" sz="1100" b="1" baseline="0">
              <a:solidFill>
                <a:schemeClr val="dk1"/>
              </a:solidFill>
              <a:effectLst/>
              <a:latin typeface="Wandohope" panose="02030603000000000000" pitchFamily="18" charset="-128"/>
              <a:ea typeface="Wandohope" panose="02030603000000000000" pitchFamily="18" charset="-128"/>
              <a:cs typeface="+mn-cs"/>
            </a:rPr>
            <a:t> initial inventory in 'TOTAL INV',</a:t>
          </a:r>
          <a:endParaRPr lang="en-US" b="1">
            <a:effectLst/>
            <a:latin typeface="Wandohope" panose="02030603000000000000" pitchFamily="18" charset="-128"/>
            <a:ea typeface="Wandohope" panose="02030603000000000000" pitchFamily="18" charset="-128"/>
          </a:endParaRPr>
        </a:p>
        <a:p>
          <a:r>
            <a:rPr lang="en-US" b="1">
              <a:effectLst/>
              <a:latin typeface="Wandohope" panose="02030603000000000000" pitchFamily="18" charset="-128"/>
              <a:ea typeface="Wandohope" panose="02030603000000000000" pitchFamily="18" charset="-128"/>
            </a:rPr>
            <a:t>then:</a:t>
          </a:r>
        </a:p>
        <a:p>
          <a:r>
            <a:rPr lang="en-US" b="1">
              <a:effectLst/>
              <a:latin typeface="Wandohope" panose="02030603000000000000" pitchFamily="18" charset="-128"/>
              <a:ea typeface="Wandohope" panose="02030603000000000000" pitchFamily="18" charset="-128"/>
            </a:rPr>
            <a:t>	ENTER PURCHASES RECEIVED IN 'RECEIVED'</a:t>
          </a:r>
          <a:r>
            <a:rPr lang="en-US" b="1" baseline="0">
              <a:effectLst/>
              <a:latin typeface="Wandohope" panose="02030603000000000000" pitchFamily="18" charset="-128"/>
              <a:ea typeface="Wandohope" panose="02030603000000000000" pitchFamily="18" charset="-128"/>
            </a:rPr>
            <a:t> COLUMN</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Also known as:</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BOL -Bill of Lading</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eBOL - electronic Bill of Lading</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PS - Packing Slip</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PL - Packing List</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WB - Waybills</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SL - Shipping List</a:t>
          </a:r>
          <a:endParaRPr lang="en-US" b="1">
            <a:effectLst/>
            <a:latin typeface="Wandohope" panose="02030603000000000000" pitchFamily="18" charset="-128"/>
            <a:ea typeface="Wandohope" panose="02030603000000000000" pitchFamily="18" charset="-128"/>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DL - Delivery List</a:t>
          </a:r>
        </a:p>
        <a:p>
          <a:endParaRPr lang="en-US" sz="1100" b="1" baseline="0">
            <a:solidFill>
              <a:schemeClr val="dk1"/>
            </a:solidFill>
            <a:effectLst/>
            <a:latin typeface="Wandohope" panose="02030603000000000000" pitchFamily="18" charset="-128"/>
            <a:ea typeface="Wandohope" panose="02030603000000000000" pitchFamily="18" charset="-128"/>
            <a:cs typeface="+mn-cs"/>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THEN CLICK THE "ADD GOODS RECIEVED".  items are added to TOTAL INV.</a:t>
          </a:r>
        </a:p>
        <a:p>
          <a:endParaRPr lang="en-US" sz="1100" b="1" baseline="0">
            <a:solidFill>
              <a:schemeClr val="dk1"/>
            </a:solidFill>
            <a:effectLst/>
            <a:latin typeface="Wandohope" panose="02030603000000000000" pitchFamily="18" charset="-128"/>
            <a:ea typeface="Wandohope" panose="02030603000000000000" pitchFamily="18" charset="-128"/>
            <a:cs typeface="+mn-cs"/>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	ENTER MADE OR MANUFACTURED ITEMS, </a:t>
          </a:r>
        </a:p>
        <a:p>
          <a:r>
            <a:rPr lang="en-US" sz="1100" b="1" baseline="0">
              <a:solidFill>
                <a:schemeClr val="dk1"/>
              </a:solidFill>
              <a:effectLst/>
              <a:latin typeface="Wandohope" panose="02030603000000000000" pitchFamily="18" charset="-128"/>
              <a:ea typeface="Wandohope" panose="02030603000000000000" pitchFamily="18" charset="-128"/>
              <a:cs typeface="+mn-cs"/>
            </a:rPr>
            <a:t>THEN CLICK "ADD MADE" BUTTON. items made will be added to the TOTAL INV.</a:t>
          </a:r>
        </a:p>
        <a:p>
          <a:endParaRPr lang="en-US" sz="1100" b="1" baseline="0">
            <a:solidFill>
              <a:schemeClr val="dk1"/>
            </a:solidFill>
            <a:effectLst/>
            <a:latin typeface="Wandohope" panose="02030603000000000000" pitchFamily="18" charset="-128"/>
            <a:ea typeface="Wandohope" panose="02030603000000000000" pitchFamily="18" charset="-128"/>
            <a:cs typeface="+mn-cs"/>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	ENTER ITEMS USED IN MANUFACTURING INTO THE "USED" COLUMN, </a:t>
          </a:r>
        </a:p>
        <a:p>
          <a:r>
            <a:rPr lang="en-US" sz="1100" b="1" baseline="0">
              <a:solidFill>
                <a:schemeClr val="dk1"/>
              </a:solidFill>
              <a:effectLst/>
              <a:latin typeface="Wandohope" panose="02030603000000000000" pitchFamily="18" charset="-128"/>
              <a:ea typeface="Wandohope" panose="02030603000000000000" pitchFamily="18" charset="-128"/>
              <a:cs typeface="+mn-cs"/>
            </a:rPr>
            <a:t>THEN CLICK "DEDUCT USED". items used in manufacture will be deducted from TOTAL INV.</a:t>
          </a:r>
        </a:p>
        <a:p>
          <a:endParaRPr lang="en-US" sz="1100" b="1" baseline="0">
            <a:solidFill>
              <a:schemeClr val="dk1"/>
            </a:solidFill>
            <a:effectLst/>
            <a:latin typeface="Wandohope" panose="02030603000000000000" pitchFamily="18" charset="-128"/>
            <a:ea typeface="Wandohope" panose="02030603000000000000" pitchFamily="18" charset="-128"/>
            <a:cs typeface="+mn-cs"/>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	ENTER ITEMS SHIPPED INTO THE "SHIPMENTS" COLUMN,</a:t>
          </a:r>
        </a:p>
        <a:p>
          <a:r>
            <a:rPr lang="en-US" sz="1100" b="1" baseline="0">
              <a:solidFill>
                <a:schemeClr val="dk1"/>
              </a:solidFill>
              <a:effectLst/>
              <a:latin typeface="Wandohope" panose="02030603000000000000" pitchFamily="18" charset="-128"/>
              <a:ea typeface="Wandohope" panose="02030603000000000000" pitchFamily="18" charset="-128"/>
              <a:cs typeface="+mn-cs"/>
            </a:rPr>
            <a:t>THEN CLICK "DEDUCT SHIPMENTS". items shipped or sold will be deducted from "TOTAL INV" </a:t>
          </a:r>
        </a:p>
        <a:p>
          <a:endParaRPr lang="en-US" sz="1100" b="1" baseline="0">
            <a:solidFill>
              <a:schemeClr val="dk1"/>
            </a:solidFill>
            <a:effectLst/>
            <a:latin typeface="Wandohope" panose="02030603000000000000" pitchFamily="18" charset="-128"/>
            <a:ea typeface="Wandohope" panose="02030603000000000000" pitchFamily="18" charset="-128"/>
            <a:cs typeface="+mn-cs"/>
          </a:endParaRPr>
        </a:p>
        <a:p>
          <a:r>
            <a:rPr lang="en-US" sz="1100" b="1" baseline="0">
              <a:solidFill>
                <a:schemeClr val="dk1"/>
              </a:solidFill>
              <a:effectLst/>
              <a:latin typeface="Wandohope" panose="02030603000000000000" pitchFamily="18" charset="-128"/>
              <a:ea typeface="Wandohope" panose="02030603000000000000" pitchFamily="18" charset="-128"/>
              <a:cs typeface="+mn-cs"/>
            </a:rPr>
            <a:t>	To account for any errors or losses GO TO THE "ADJUSTMENTS" COLUMN. FOR ADDITION, ENTER THE NUMBER, FOR DEDUCTION ENTER A '-' BEFORE THE NUMBER, THEN CLICK "+-ADJUSTMENTS" BUTTON. Items will be added to or deducted from the TOTAL INV column</a:t>
          </a:r>
        </a:p>
        <a:p>
          <a:endParaRPr lang="en-US" b="1">
            <a:effectLst/>
            <a:latin typeface="Wandohope" panose="02030603000000000000" pitchFamily="18" charset="-128"/>
            <a:ea typeface="Wandohope" panose="02030603000000000000" pitchFamily="18" charset="-128"/>
          </a:endParaRPr>
        </a:p>
        <a:p>
          <a:r>
            <a:rPr lang="en-US" sz="1100" b="1" i="0" u="none" strike="noStrike">
              <a:solidFill>
                <a:schemeClr val="dk1"/>
              </a:solidFill>
              <a:effectLst/>
              <a:latin typeface="Wandohope" panose="02030603000000000000" pitchFamily="18" charset="-128"/>
              <a:ea typeface="Wandohope" panose="02030603000000000000" pitchFamily="18" charset="-128"/>
              <a:cs typeface="+mn-cs"/>
            </a:rPr>
            <a:t>	SharePoint and OneDrive can keep up to 500 versions of a document. This allows you to restore previous versions if needed.This backup works automatically</a:t>
          </a:r>
          <a:r>
            <a:rPr lang="en-US" sz="1100" b="1" i="0" u="none" strike="noStrike" baseline="0">
              <a:solidFill>
                <a:schemeClr val="dk1"/>
              </a:solidFill>
              <a:effectLst/>
              <a:latin typeface="Wandohope" panose="02030603000000000000" pitchFamily="18" charset="-128"/>
              <a:ea typeface="Wandohope" panose="02030603000000000000" pitchFamily="18" charset="-128"/>
              <a:cs typeface="+mn-cs"/>
            </a:rPr>
            <a:t> as long as the file is saved in Onedrive or Sharepoint.</a:t>
          </a:r>
          <a:endParaRPr lang="en-US" sz="1100" b="1" kern="1200">
            <a:latin typeface="Wandohope" panose="02030603000000000000" pitchFamily="18" charset="-128"/>
            <a:ea typeface="Wandohope" panose="02030603000000000000" pitchFamily="18" charset="-128"/>
          </a:endParaRPr>
        </a:p>
      </xdr:txBody>
    </xdr:sp>
    <xdr:clientData/>
  </xdr:twoCellAnchor>
  <mc:AlternateContent xmlns:mc="http://schemas.openxmlformats.org/markup-compatibility/2006">
    <mc:Choice xmlns:a14="http://schemas.microsoft.com/office/drawing/2010/main" Requires="a14">
      <xdr:twoCellAnchor>
        <xdr:from>
          <xdr:col>15</xdr:col>
          <xdr:colOff>342900</xdr:colOff>
          <xdr:row>0</xdr:row>
          <xdr:rowOff>31750</xdr:rowOff>
        </xdr:from>
        <xdr:to>
          <xdr:col>16</xdr:col>
          <xdr:colOff>450850</xdr:colOff>
          <xdr:row>0</xdr:row>
          <xdr:rowOff>469900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469900</xdr:colOff>
          <xdr:row>0</xdr:row>
          <xdr:rowOff>31750</xdr:rowOff>
        </xdr:from>
        <xdr:to>
          <xdr:col>18</xdr:col>
          <xdr:colOff>533400</xdr:colOff>
          <xdr:row>0</xdr:row>
          <xdr:rowOff>469900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en-US" sz="1200" b="0" i="0" u="none" strike="noStrike" baseline="0">
                  <a:solidFill>
                    <a:srgbClr val="000000"/>
                  </a:solidFill>
                  <a:latin typeface="Wandohope"/>
                  <a:ea typeface="Wandohope"/>
                </a:rPr>
                <a:t>UNDO macro</a:t>
              </a:r>
            </a:p>
            <a:p>
              <a:pPr algn="l" rtl="0">
                <a:defRPr sz="1000"/>
              </a:pPr>
              <a:endParaRPr lang="en-US" sz="1200" b="0" i="0" u="none" strike="noStrike" baseline="0">
                <a:solidFill>
                  <a:srgbClr val="000000"/>
                </a:solidFill>
                <a:latin typeface="Wandohope"/>
                <a:ea typeface="Wandohope"/>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1695450</xdr:colOff>
          <xdr:row>0</xdr:row>
          <xdr:rowOff>31750</xdr:rowOff>
        </xdr:from>
        <xdr:to>
          <xdr:col>9</xdr:col>
          <xdr:colOff>323850</xdr:colOff>
          <xdr:row>0</xdr:row>
          <xdr:rowOff>533400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en-US" sz="1200" b="0" i="0" u="none" strike="noStrike" baseline="0">
                  <a:solidFill>
                    <a:srgbClr val="000000"/>
                  </a:solidFill>
                  <a:latin typeface="Wandohope"/>
                  <a:ea typeface="Wandohope"/>
                </a:rPr>
                <a:t>sign out</a:t>
              </a:r>
            </a:p>
            <a:p>
              <a:pPr algn="l" rtl="0">
                <a:defRPr sz="1000"/>
              </a:pPr>
              <a:endParaRPr lang="en-US" sz="1200" b="0" i="0" u="none" strike="noStrike" baseline="0">
                <a:solidFill>
                  <a:srgbClr val="000000"/>
                </a:solidFill>
                <a:latin typeface="Wandohope"/>
                <a:ea typeface="Wandohope"/>
              </a:endParaRPr>
            </a:p>
            <a:p>
              <a:pPr algn="l" rtl="0">
                <a:defRPr sz="1000"/>
              </a:pPr>
              <a:endParaRPr lang="en-US" sz="1200" b="0" i="0" u="none" strike="noStrike" baseline="0">
                <a:solidFill>
                  <a:srgbClr val="000000"/>
                </a:solidFill>
                <a:latin typeface="Wandohope"/>
                <a:ea typeface="Wandohope"/>
              </a:endParaRPr>
            </a:p>
            <a:p>
              <a:pPr algn="l" rtl="0">
                <a:defRPr sz="1000"/>
              </a:pPr>
              <a:endParaRPr lang="en-US" sz="1200" b="0" i="0" u="none" strike="noStrike" baseline="0">
                <a:solidFill>
                  <a:srgbClr val="000000"/>
                </a:solidFill>
                <a:latin typeface="Wandohope"/>
                <a:ea typeface="Wandohope"/>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552450</xdr:colOff>
          <xdr:row>0</xdr:row>
          <xdr:rowOff>31750</xdr:rowOff>
        </xdr:from>
        <xdr:to>
          <xdr:col>19</xdr:col>
          <xdr:colOff>152400</xdr:colOff>
          <xdr:row>0</xdr:row>
          <xdr:rowOff>450850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45720" tIns="36576" rIns="0" bIns="36576" anchor="ctr" upright="1"/>
            <a:lstStyle/>
            <a:p>
              <a:pPr algn="l" rtl="0">
                <a:defRPr sz="1000"/>
              </a:pPr>
              <a:r>
                <a:rPr lang="en-US" sz="1200" b="0" i="0" u="none" strike="noStrike" baseline="0">
                  <a:solidFill>
                    <a:srgbClr val="000000"/>
                  </a:solidFill>
                  <a:latin typeface="Wandohope"/>
                  <a:ea typeface="Wandohope"/>
                </a:rPr>
                <a:t>REDO macro</a:t>
              </a:r>
            </a:p>
            <a:p>
              <a:pPr algn="l" rtl="0">
                <a:defRPr sz="1000"/>
              </a:pPr>
              <a:endParaRPr lang="en-US" sz="1200" b="0" i="0" u="none" strike="noStrike" baseline="0">
                <a:solidFill>
                  <a:srgbClr val="000000"/>
                </a:solidFill>
                <a:latin typeface="Wandohope"/>
                <a:ea typeface="Wandohope"/>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736600</xdr:colOff>
          <xdr:row>0</xdr:row>
          <xdr:rowOff>31750</xdr:rowOff>
        </xdr:from>
        <xdr:to>
          <xdr:col>8</xdr:col>
          <xdr:colOff>819150</xdr:colOff>
          <xdr:row>0</xdr:row>
          <xdr:rowOff>533400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EDIT TOTAL INV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781050</xdr:colOff>
          <xdr:row>0</xdr:row>
          <xdr:rowOff>57150</xdr:rowOff>
        </xdr:from>
        <xdr:to>
          <xdr:col>7</xdr:col>
          <xdr:colOff>717550</xdr:colOff>
          <xdr:row>0</xdr:row>
          <xdr:rowOff>546100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Wandohope"/>
                  <a:ea typeface="Wandohope"/>
                </a:rPr>
                <a:t>Lock TOTAL INV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152400</xdr:colOff>
          <xdr:row>0</xdr:row>
          <xdr:rowOff>69850</xdr:rowOff>
        </xdr:from>
        <xdr:to>
          <xdr:col>22</xdr:col>
          <xdr:colOff>660400</xdr:colOff>
          <xdr:row>1</xdr:row>
          <xdr:rowOff>88900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Wandohope"/>
                  <a:ea typeface="Wandohope"/>
                </a:rPr>
                <a:t>Admin</a:t>
              </a:r>
            </a:p>
          </xdr:txBody>
        </xdr:sp>
        <xdr:clientData fPrintsWithSheet="0"/>
      </xdr:twoCellAnchor>
    </mc:Choice>
    <mc:Fallback/>
  </mc:AlternateContent>
  <xdr:twoCellAnchor>
    <xdr:from>
      <xdr:col>10</xdr:col>
      <xdr:colOff>66675</xdr:colOff>
      <xdr:row>0</xdr:row>
      <xdr:rowOff>495301</xdr:rowOff>
    </xdr:from>
    <xdr:to>
      <xdr:col>15</xdr:col>
      <xdr:colOff>923925</xdr:colOff>
      <xdr:row>1</xdr:row>
      <xdr:rowOff>209551</xdr:rowOff>
    </xdr:to>
    <xdr:sp macro="" textlink="">
      <xdr:nvSpPr>
        <xdr:cNvPr id="9" name="lblMessage">
          <a:extLst>
            <a:ext uri="{FF2B5EF4-FFF2-40B4-BE49-F238E27FC236}">
              <a16:creationId xmlns:a16="http://schemas.microsoft.com/office/drawing/2014/main" id="{94ACFB23-0673-4D30-A8B2-F60D33BC1CE7}"/>
            </a:ext>
          </a:extLst>
        </xdr:cNvPr>
        <xdr:cNvSpPr txBox="1"/>
      </xdr:nvSpPr>
      <xdr:spPr>
        <a:xfrm>
          <a:off x="10668000" y="495301"/>
          <a:ext cx="5143500"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Goods received successfully.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0</xdr:row>
          <xdr:rowOff>0</xdr:rowOff>
        </xdr:from>
        <xdr:to>
          <xdr:col>3</xdr:col>
          <xdr:colOff>1289050</xdr:colOff>
          <xdr:row>0</xdr:row>
          <xdr:rowOff>400050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Tally Received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0</xdr:row>
          <xdr:rowOff>0</xdr:rowOff>
        </xdr:from>
        <xdr:to>
          <xdr:col>4</xdr:col>
          <xdr:colOff>641350</xdr:colOff>
          <xdr:row>0</xdr:row>
          <xdr:rowOff>400050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660400</xdr:colOff>
          <xdr:row>0</xdr:row>
          <xdr:rowOff>0</xdr:rowOff>
        </xdr:from>
        <xdr:to>
          <xdr:col>5</xdr:col>
          <xdr:colOff>0</xdr:colOff>
          <xdr:row>0</xdr:row>
          <xdr:rowOff>400050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Redo</a:t>
              </a:r>
            </a:p>
          </xdr:txBody>
        </xdr:sp>
        <xdr:clientData fPrintsWithSheet="0"/>
      </xdr:twoCellAnchor>
    </mc:Choice>
    <mc:Fallback/>
  </mc:AlternateContent>
  <xdr:twoCellAnchor>
    <xdr:from>
      <xdr:col>14</xdr:col>
      <xdr:colOff>476250</xdr:colOff>
      <xdr:row>3</xdr:row>
      <xdr:rowOff>0</xdr:rowOff>
    </xdr:from>
    <xdr:to>
      <xdr:col>18</xdr:col>
      <xdr:colOff>314325</xdr:colOff>
      <xdr:row>8</xdr:row>
      <xdr:rowOff>152399</xdr:rowOff>
    </xdr:to>
    <xdr:sp macro="" textlink="">
      <xdr:nvSpPr>
        <xdr:cNvPr id="2" name="TextBox 1">
          <a:extLst>
            <a:ext uri="{FF2B5EF4-FFF2-40B4-BE49-F238E27FC236}">
              <a16:creationId xmlns:a16="http://schemas.microsoft.com/office/drawing/2014/main" id="{F0C21362-BA53-0CA0-93F5-34F56968E5D6}"/>
            </a:ext>
          </a:extLst>
        </xdr:cNvPr>
        <xdr:cNvSpPr txBox="1"/>
      </xdr:nvSpPr>
      <xdr:spPr>
        <a:xfrm>
          <a:off x="6438900" y="981074"/>
          <a:ext cx="2581275" cy="2790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various lists that have the goods on them:</a:t>
          </a:r>
        </a:p>
        <a:p>
          <a:r>
            <a:rPr lang="en-US" b="1">
              <a:effectLst/>
            </a:rPr>
            <a:t>sent:</a:t>
          </a:r>
        </a:p>
        <a:p>
          <a:r>
            <a:rPr lang="en-US" b="1">
              <a:effectLst/>
            </a:rPr>
            <a:t>PO - Purchase</a:t>
          </a:r>
          <a:r>
            <a:rPr lang="en-US" b="1" baseline="0">
              <a:effectLst/>
            </a:rPr>
            <a:t> Order </a:t>
          </a:r>
        </a:p>
        <a:p>
          <a:endParaRPr lang="en-US" b="1" baseline="0">
            <a:effectLst/>
          </a:endParaRPr>
        </a:p>
        <a:p>
          <a:r>
            <a:rPr lang="en-US" b="1">
              <a:effectLst/>
            </a:rPr>
            <a:t>received:</a:t>
          </a:r>
        </a:p>
        <a:p>
          <a:r>
            <a:rPr lang="en-US" sz="1100" b="1" baseline="0">
              <a:solidFill>
                <a:schemeClr val="dk1"/>
              </a:solidFill>
              <a:effectLst/>
              <a:latin typeface="+mn-lt"/>
              <a:ea typeface="+mn-ea"/>
              <a:cs typeface="+mn-cs"/>
            </a:rPr>
            <a:t>OC - Order Confirmation</a:t>
          </a:r>
        </a:p>
        <a:p>
          <a:endParaRPr lang="en-US">
            <a:effectLst/>
          </a:endParaRPr>
        </a:p>
        <a:p>
          <a:r>
            <a:rPr lang="en-US" sz="1100" b="1" baseline="0">
              <a:solidFill>
                <a:schemeClr val="dk1"/>
              </a:solidFill>
              <a:effectLst/>
              <a:latin typeface="+mn-lt"/>
              <a:ea typeface="+mn-ea"/>
              <a:cs typeface="+mn-cs"/>
            </a:rPr>
            <a:t>should be with stuff received:</a:t>
          </a:r>
        </a:p>
        <a:p>
          <a:r>
            <a:rPr lang="en-US" sz="1100" b="1" baseline="0">
              <a:solidFill>
                <a:schemeClr val="dk1"/>
              </a:solidFill>
              <a:effectLst/>
              <a:latin typeface="+mn-lt"/>
              <a:ea typeface="+mn-ea"/>
              <a:cs typeface="+mn-cs"/>
            </a:rPr>
            <a:t>BOL -Bill of Lading</a:t>
          </a:r>
          <a:endParaRPr lang="en-US">
            <a:effectLst/>
          </a:endParaRPr>
        </a:p>
        <a:p>
          <a:r>
            <a:rPr lang="en-US" sz="1100" b="1" baseline="0">
              <a:solidFill>
                <a:schemeClr val="dk1"/>
              </a:solidFill>
              <a:effectLst/>
              <a:latin typeface="+mn-lt"/>
              <a:ea typeface="+mn-ea"/>
              <a:cs typeface="+mn-cs"/>
            </a:rPr>
            <a:t>eBOL - electronic Bill of Lading</a:t>
          </a:r>
          <a:endParaRPr lang="en-US">
            <a:effectLst/>
          </a:endParaRPr>
        </a:p>
        <a:p>
          <a:r>
            <a:rPr lang="en-US" sz="1100" b="1" baseline="0">
              <a:solidFill>
                <a:schemeClr val="dk1"/>
              </a:solidFill>
              <a:effectLst/>
              <a:latin typeface="+mn-lt"/>
              <a:ea typeface="+mn-ea"/>
              <a:cs typeface="+mn-cs"/>
            </a:rPr>
            <a:t>PS - Packing Slip</a:t>
          </a:r>
          <a:endParaRPr lang="en-US">
            <a:effectLst/>
          </a:endParaRPr>
        </a:p>
        <a:p>
          <a:r>
            <a:rPr lang="en-US" sz="1100" b="1" baseline="0">
              <a:solidFill>
                <a:schemeClr val="dk1"/>
              </a:solidFill>
              <a:effectLst/>
              <a:latin typeface="+mn-lt"/>
              <a:ea typeface="+mn-ea"/>
              <a:cs typeface="+mn-cs"/>
            </a:rPr>
            <a:t>PL - Packing List</a:t>
          </a:r>
          <a:endParaRPr lang="en-US">
            <a:effectLst/>
          </a:endParaRPr>
        </a:p>
        <a:p>
          <a:r>
            <a:rPr lang="en-US" sz="1100" b="1" baseline="0">
              <a:solidFill>
                <a:schemeClr val="dk1"/>
              </a:solidFill>
              <a:effectLst/>
              <a:latin typeface="+mn-lt"/>
              <a:ea typeface="+mn-ea"/>
              <a:cs typeface="+mn-cs"/>
            </a:rPr>
            <a:t>WB - Waybills</a:t>
          </a:r>
          <a:endParaRPr lang="en-US">
            <a:effectLst/>
          </a:endParaRPr>
        </a:p>
        <a:p>
          <a:r>
            <a:rPr lang="en-US" sz="1100" b="1" baseline="0">
              <a:solidFill>
                <a:schemeClr val="dk1"/>
              </a:solidFill>
              <a:effectLst/>
              <a:latin typeface="+mn-lt"/>
              <a:ea typeface="+mn-ea"/>
              <a:cs typeface="+mn-cs"/>
            </a:rPr>
            <a:t>SL - Shipping List</a:t>
          </a:r>
          <a:endParaRPr lang="en-US">
            <a:effectLst/>
          </a:endParaRPr>
        </a:p>
        <a:p>
          <a:r>
            <a:rPr lang="en-US" sz="1100" b="1" baseline="0">
              <a:solidFill>
                <a:schemeClr val="dk1"/>
              </a:solidFill>
              <a:effectLst/>
              <a:latin typeface="+mn-lt"/>
              <a:ea typeface="+mn-ea"/>
              <a:cs typeface="+mn-cs"/>
            </a:rPr>
            <a:t>DL - Delivery List</a:t>
          </a:r>
        </a:p>
        <a:p>
          <a:endParaRPr lang="en-US">
            <a:effectLst/>
          </a:endParaRPr>
        </a:p>
        <a:p>
          <a:endParaRPr lang="en-US" sz="1100"/>
        </a:p>
      </xdr:txBody>
    </xdr:sp>
    <xdr:clientData/>
  </xdr:twoCellAnchor>
  <xdr:twoCellAnchor>
    <xdr:from>
      <xdr:col>5</xdr:col>
      <xdr:colOff>41275</xdr:colOff>
      <xdr:row>0</xdr:row>
      <xdr:rowOff>50800</xdr:rowOff>
    </xdr:from>
    <xdr:to>
      <xdr:col>7</xdr:col>
      <xdr:colOff>641350</xdr:colOff>
      <xdr:row>0</xdr:row>
      <xdr:rowOff>400050</xdr:rowOff>
    </xdr:to>
    <xdr:sp macro="modGlobals.OpenItemSearchForCurrentCell" textlink="">
      <xdr:nvSpPr>
        <xdr:cNvPr id="3" name="BigSearchBtn">
          <a:extLst>
            <a:ext uri="{FF2B5EF4-FFF2-40B4-BE49-F238E27FC236}">
              <a16:creationId xmlns:a16="http://schemas.microsoft.com/office/drawing/2014/main" id="{CA857EB4-9426-1366-6D3D-2D37B4049040}"/>
            </a:ext>
          </a:extLst>
        </xdr:cNvPr>
        <xdr:cNvSpPr/>
      </xdr:nvSpPr>
      <xdr:spPr>
        <a:xfrm>
          <a:off x="5794375" y="50800"/>
          <a:ext cx="2286000" cy="34925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4" name="BigSearchBtn">
          <a:extLst>
            <a:ext uri="{FF2B5EF4-FFF2-40B4-BE49-F238E27FC236}">
              <a16:creationId xmlns:a16="http://schemas.microsoft.com/office/drawing/2014/main" id="{BFEA5955-73C3-34D9-215D-2A1D07A1EF74}"/>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5" name="BigSearchBtn">
          <a:extLst>
            <a:ext uri="{FF2B5EF4-FFF2-40B4-BE49-F238E27FC236}">
              <a16:creationId xmlns:a16="http://schemas.microsoft.com/office/drawing/2014/main" id="{13BCCE1C-C86C-EBE5-5BEE-603606EADC38}"/>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6" name="BigSearchBtn">
          <a:extLst>
            <a:ext uri="{FF2B5EF4-FFF2-40B4-BE49-F238E27FC236}">
              <a16:creationId xmlns:a16="http://schemas.microsoft.com/office/drawing/2014/main" id="{FC0C3370-F922-3CEE-E584-08A2D5552AC6}"/>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7" name="BigSearchBtn">
          <a:extLst>
            <a:ext uri="{FF2B5EF4-FFF2-40B4-BE49-F238E27FC236}">
              <a16:creationId xmlns:a16="http://schemas.microsoft.com/office/drawing/2014/main" id="{E39F9494-74EF-99CB-2905-F630D9106A74}"/>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8" name="BigSearchBtn">
          <a:extLst>
            <a:ext uri="{FF2B5EF4-FFF2-40B4-BE49-F238E27FC236}">
              <a16:creationId xmlns:a16="http://schemas.microsoft.com/office/drawing/2014/main" id="{4FBA460D-2650-7B28-DC9B-6F4DD661E721}"/>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9" name="BigSearchBtn">
          <a:extLst>
            <a:ext uri="{FF2B5EF4-FFF2-40B4-BE49-F238E27FC236}">
              <a16:creationId xmlns:a16="http://schemas.microsoft.com/office/drawing/2014/main" id="{5E453D48-64C1-7359-D43F-1967E13D52BD}"/>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10" name="BigSearchBtn">
          <a:extLst>
            <a:ext uri="{FF2B5EF4-FFF2-40B4-BE49-F238E27FC236}">
              <a16:creationId xmlns:a16="http://schemas.microsoft.com/office/drawing/2014/main" id="{CC948A12-8DBB-F3F7-B984-C5D6F3ED7FF6}"/>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11" name="BigSearchBtn">
          <a:extLst>
            <a:ext uri="{FF2B5EF4-FFF2-40B4-BE49-F238E27FC236}">
              <a16:creationId xmlns:a16="http://schemas.microsoft.com/office/drawing/2014/main" id="{977D09B8-0EC0-A554-8975-473A9B0BCE60}"/>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793750</xdr:colOff>
      <xdr:row>1</xdr:row>
      <xdr:rowOff>215900</xdr:rowOff>
    </xdr:to>
    <xdr:sp macro="modGlobals.OpenItemSearchForCurrentCell" textlink="">
      <xdr:nvSpPr>
        <xdr:cNvPr id="12" name="BigSearchBtn">
          <a:extLst>
            <a:ext uri="{FF2B5EF4-FFF2-40B4-BE49-F238E27FC236}">
              <a16:creationId xmlns:a16="http://schemas.microsoft.com/office/drawing/2014/main" id="{5F51F9B1-7E4C-B838-837A-39E0E23A41BC}"/>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819150</xdr:colOff>
      <xdr:row>1</xdr:row>
      <xdr:rowOff>215900</xdr:rowOff>
    </xdr:to>
    <xdr:sp macro="modGlobals.OpenItemSearchForCurrentCell" textlink="">
      <xdr:nvSpPr>
        <xdr:cNvPr id="13" name="BigSearchBtn">
          <a:extLst>
            <a:ext uri="{FF2B5EF4-FFF2-40B4-BE49-F238E27FC236}">
              <a16:creationId xmlns:a16="http://schemas.microsoft.com/office/drawing/2014/main" id="{84CB0727-5CC4-9C85-DBA2-568323A07EEB}"/>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1327150</xdr:colOff>
          <xdr:row>0</xdr:row>
          <xdr:rowOff>0</xdr:rowOff>
        </xdr:from>
        <xdr:to>
          <xdr:col>3</xdr:col>
          <xdr:colOff>1924050</xdr:colOff>
          <xdr:row>0</xdr:row>
          <xdr:rowOff>393700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1955800</xdr:colOff>
          <xdr:row>0</xdr:row>
          <xdr:rowOff>0</xdr:rowOff>
        </xdr:from>
        <xdr:to>
          <xdr:col>4</xdr:col>
          <xdr:colOff>374650</xdr:colOff>
          <xdr:row>0</xdr:row>
          <xdr:rowOff>393700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Redo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222250</xdr:colOff>
          <xdr:row>0</xdr:row>
          <xdr:rowOff>19050</xdr:rowOff>
        </xdr:from>
        <xdr:to>
          <xdr:col>3</xdr:col>
          <xdr:colOff>1308100</xdr:colOff>
          <xdr:row>0</xdr:row>
          <xdr:rowOff>393700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200-000004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Tally Shipments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546100</xdr:colOff>
          <xdr:row>0</xdr:row>
          <xdr:rowOff>31750</xdr:rowOff>
        </xdr:from>
        <xdr:to>
          <xdr:col>6</xdr:col>
          <xdr:colOff>127000</xdr:colOff>
          <xdr:row>0</xdr:row>
          <xdr:rowOff>400050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200-000005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Button 5</a:t>
              </a:r>
            </a:p>
          </xdr:txBody>
        </xdr:sp>
        <xdr:clientData fPrintsWithSheet="0"/>
      </xdr:twoCellAnchor>
    </mc:Choice>
    <mc:Fallback/>
  </mc:AlternateContent>
  <xdr:twoCellAnchor>
    <xdr:from>
      <xdr:col>6</xdr:col>
      <xdr:colOff>156885</xdr:colOff>
      <xdr:row>0</xdr:row>
      <xdr:rowOff>33619</xdr:rowOff>
    </xdr:from>
    <xdr:to>
      <xdr:col>8</xdr:col>
      <xdr:colOff>291355</xdr:colOff>
      <xdr:row>0</xdr:row>
      <xdr:rowOff>403413</xdr:rowOff>
    </xdr:to>
    <xdr:sp macro="modGlobals.OpenItemSearchForCurrentCell" textlink="">
      <xdr:nvSpPr>
        <xdr:cNvPr id="2" name="BigSearchBtn">
          <a:extLst>
            <a:ext uri="{FF2B5EF4-FFF2-40B4-BE49-F238E27FC236}">
              <a16:creationId xmlns:a16="http://schemas.microsoft.com/office/drawing/2014/main" id="{6FB8EBC8-4D54-9748-6AA8-4496440C2487}"/>
            </a:ext>
          </a:extLst>
        </xdr:cNvPr>
        <xdr:cNvSpPr/>
      </xdr:nvSpPr>
      <xdr:spPr>
        <a:xfrm>
          <a:off x="6544238" y="33619"/>
          <a:ext cx="1546411" cy="369794"/>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574675</xdr:colOff>
      <xdr:row>1</xdr:row>
      <xdr:rowOff>215900</xdr:rowOff>
    </xdr:to>
    <xdr:sp macro="modGlobals.OpenItemSearchForCurrentCell" textlink="">
      <xdr:nvSpPr>
        <xdr:cNvPr id="3" name="BigSearchBtn">
          <a:extLst>
            <a:ext uri="{FF2B5EF4-FFF2-40B4-BE49-F238E27FC236}">
              <a16:creationId xmlns:a16="http://schemas.microsoft.com/office/drawing/2014/main" id="{A85E8877-9A78-ADF3-B1FA-E84914E0F409}"/>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4" name="BigSearchBtn">
          <a:extLst>
            <a:ext uri="{FF2B5EF4-FFF2-40B4-BE49-F238E27FC236}">
              <a16:creationId xmlns:a16="http://schemas.microsoft.com/office/drawing/2014/main" id="{457AD6C3-155C-3F2B-B0B0-F26567B526F6}"/>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5" name="BigSearchBtn">
          <a:extLst>
            <a:ext uri="{FF2B5EF4-FFF2-40B4-BE49-F238E27FC236}">
              <a16:creationId xmlns:a16="http://schemas.microsoft.com/office/drawing/2014/main" id="{D0A2DB19-6D61-4D4D-E929-E699D97947D1}"/>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6" name="BigSearchBtn">
          <a:extLst>
            <a:ext uri="{FF2B5EF4-FFF2-40B4-BE49-F238E27FC236}">
              <a16:creationId xmlns:a16="http://schemas.microsoft.com/office/drawing/2014/main" id="{C6E7B442-8C51-8101-FAA5-853758CD3E2C}"/>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7" name="BigSearchBtn">
          <a:extLst>
            <a:ext uri="{FF2B5EF4-FFF2-40B4-BE49-F238E27FC236}">
              <a16:creationId xmlns:a16="http://schemas.microsoft.com/office/drawing/2014/main" id="{A3421B56-DC0B-EA41-13D9-4CE7294D1268}"/>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8" name="BigSearchBtn">
          <a:extLst>
            <a:ext uri="{FF2B5EF4-FFF2-40B4-BE49-F238E27FC236}">
              <a16:creationId xmlns:a16="http://schemas.microsoft.com/office/drawing/2014/main" id="{72245AD2-78D3-7079-9EC0-2297C2FD10C4}"/>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9" name="BigSearchBtn">
          <a:extLst>
            <a:ext uri="{FF2B5EF4-FFF2-40B4-BE49-F238E27FC236}">
              <a16:creationId xmlns:a16="http://schemas.microsoft.com/office/drawing/2014/main" id="{DF5E38F3-1585-A793-EFD3-EF9810D5DD50}"/>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10" name="BigSearchBtn">
          <a:extLst>
            <a:ext uri="{FF2B5EF4-FFF2-40B4-BE49-F238E27FC236}">
              <a16:creationId xmlns:a16="http://schemas.microsoft.com/office/drawing/2014/main" id="{5D3B4BC6-EDFE-F3A3-FF6E-2FB65E058756}"/>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220382</xdr:rowOff>
    </xdr:to>
    <xdr:sp macro="modGlobals.OpenItemSearchForCurrentCell" textlink="">
      <xdr:nvSpPr>
        <xdr:cNvPr id="11" name="BigSearchBtn">
          <a:extLst>
            <a:ext uri="{FF2B5EF4-FFF2-40B4-BE49-F238E27FC236}">
              <a16:creationId xmlns:a16="http://schemas.microsoft.com/office/drawing/2014/main" id="{D490EA2E-D483-C69E-35EB-DF62D406D41D}"/>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twoCellAnchor>
    <xdr:from>
      <xdr:col>0</xdr:col>
      <xdr:colOff>127000</xdr:colOff>
      <xdr:row>0</xdr:row>
      <xdr:rowOff>127000</xdr:rowOff>
    </xdr:from>
    <xdr:to>
      <xdr:col>2</xdr:col>
      <xdr:colOff>575235</xdr:colOff>
      <xdr:row>1</xdr:row>
      <xdr:rowOff>216647</xdr:rowOff>
    </xdr:to>
    <xdr:sp macro="modGlobals.OpenItemSearchForCurrentCell" textlink="">
      <xdr:nvSpPr>
        <xdr:cNvPr id="12" name="BigSearchBtn">
          <a:extLst>
            <a:ext uri="{FF2B5EF4-FFF2-40B4-BE49-F238E27FC236}">
              <a16:creationId xmlns:a16="http://schemas.microsoft.com/office/drawing/2014/main" id="{A42DB402-3C0E-8763-4604-3E683437F583}"/>
            </a:ext>
          </a:extLst>
        </xdr:cNvPr>
        <xdr:cNvSpPr/>
      </xdr:nvSpPr>
      <xdr:spPr>
        <a:xfrm>
          <a:off x="127000" y="127000"/>
          <a:ext cx="2286000" cy="508000"/>
        </a:xfrm>
        <a:prstGeom prst="roundRect">
          <a:avLst/>
        </a:prstGeom>
        <a:solidFill>
          <a:srgbClr val="0070C0"/>
        </a:solidFill>
        <a:ln>
          <a:solidFill>
            <a:srgbClr val="000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FFFFFF"/>
              </a:solidFill>
            </a:rPr>
            <a:t>SEARCH ITEMS</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0</xdr:row>
          <xdr:rowOff>57150</xdr:rowOff>
        </xdr:from>
        <xdr:to>
          <xdr:col>7</xdr:col>
          <xdr:colOff>374650</xdr:colOff>
          <xdr:row>2</xdr:row>
          <xdr:rowOff>12700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Button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184150</xdr:colOff>
          <xdr:row>1</xdr:row>
          <xdr:rowOff>127000</xdr:rowOff>
        </xdr:from>
        <xdr:to>
          <xdr:col>4</xdr:col>
          <xdr:colOff>323850</xdr:colOff>
          <xdr:row>4</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400-00000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ptos Narrow"/>
                </a:rPr>
                <a:t>Run Tests</a:t>
              </a:r>
            </a:p>
          </xdr:txBody>
        </xdr:sp>
        <xdr:clientData fPrintsWithSheet="0"/>
      </xdr:twoCellAnchor>
    </mc:Choice>
    <mc:Fallback/>
  </mc:AlternateContent>
  <xdr:twoCellAnchor>
    <xdr:from>
      <xdr:col>5</xdr:col>
      <xdr:colOff>581891</xdr:colOff>
      <xdr:row>2</xdr:row>
      <xdr:rowOff>59377</xdr:rowOff>
    </xdr:from>
    <xdr:to>
      <xdr:col>14</xdr:col>
      <xdr:colOff>326571</xdr:colOff>
      <xdr:row>49</xdr:row>
      <xdr:rowOff>5938</xdr:rowOff>
    </xdr:to>
    <xdr:sp macro="" textlink="">
      <xdr:nvSpPr>
        <xdr:cNvPr id="2" name="TextBox 1">
          <a:extLst>
            <a:ext uri="{FF2B5EF4-FFF2-40B4-BE49-F238E27FC236}">
              <a16:creationId xmlns:a16="http://schemas.microsoft.com/office/drawing/2014/main" id="{EE47058E-B52B-046E-BD02-0691FDDAA5B6}"/>
            </a:ext>
          </a:extLst>
        </xdr:cNvPr>
        <xdr:cNvSpPr txBox="1"/>
      </xdr:nvSpPr>
      <xdr:spPr>
        <a:xfrm>
          <a:off x="4144488" y="463138"/>
          <a:ext cx="6157356" cy="94349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Bradley Hand ITC" panose="03070402050302030203" pitchFamily="66" charset="0"/>
            </a:rPr>
            <a:t>Having a dedicated </a:t>
          </a:r>
          <a:r>
            <a:rPr lang="en-US" sz="1200" b="1">
              <a:latin typeface="Bradley Hand ITC" panose="03070402050302030203" pitchFamily="66" charset="0"/>
            </a:rPr>
            <a:t>TestSummary</a:t>
          </a:r>
          <a:r>
            <a:rPr lang="en-US" sz="1200">
              <a:latin typeface="Bradley Hand ITC" panose="03070402050302030203" pitchFamily="66" charset="0"/>
            </a:rPr>
            <a:t> sheet in your workbook suggests you’re doing testing, QA, or logging test results in Excel. In a typical Excel-VBA workflow, you might use </a:t>
          </a:r>
          <a:r>
            <a:rPr lang="en-US" sz="1200" b="1">
              <a:latin typeface="Bradley Hand ITC" panose="03070402050302030203" pitchFamily="66" charset="0"/>
            </a:rPr>
            <a:t>TestSummary</a:t>
          </a:r>
          <a:r>
            <a:rPr lang="en-US" sz="1200">
              <a:latin typeface="Bradley Hand ITC" panose="03070402050302030203" pitchFamily="66" charset="0"/>
            </a:rPr>
            <a:t> to:</a:t>
          </a:r>
        </a:p>
        <a:p>
          <a:r>
            <a:rPr lang="en-US" sz="1200" b="1">
              <a:latin typeface="Bradley Hand ITC" panose="03070402050302030203" pitchFamily="66" charset="0"/>
            </a:rPr>
            <a:t>Document Test Scenarios</a:t>
          </a:r>
          <a:endParaRPr lang="en-US" sz="1200">
            <a:latin typeface="Bradley Hand ITC" panose="03070402050302030203" pitchFamily="66" charset="0"/>
          </a:endParaRPr>
        </a:p>
        <a:p>
          <a:pPr lvl="1"/>
          <a:r>
            <a:rPr lang="en-US" sz="1200">
              <a:latin typeface="Bradley Hand ITC" panose="03070402050302030203" pitchFamily="66" charset="0"/>
            </a:rPr>
            <a:t>For example, you might list various functions or procedures and note the steps you took to test them, along with expected vs. actual outcomes.</a:t>
          </a:r>
        </a:p>
        <a:p>
          <a:r>
            <a:rPr lang="en-US" sz="1200" b="1">
              <a:latin typeface="Bradley Hand ITC" panose="03070402050302030203" pitchFamily="66" charset="0"/>
            </a:rPr>
            <a:t>Automate Test Scripts</a:t>
          </a:r>
          <a:endParaRPr lang="en-US" sz="1200">
            <a:latin typeface="Bradley Hand ITC" panose="03070402050302030203" pitchFamily="66" charset="0"/>
          </a:endParaRPr>
        </a:p>
        <a:p>
          <a:pPr lvl="1"/>
          <a:r>
            <a:rPr lang="en-US" sz="1200">
              <a:latin typeface="Bradley Hand ITC" panose="03070402050302030203" pitchFamily="66" charset="0"/>
            </a:rPr>
            <a:t>You can write VBA procedures that execute test cases (e.g., add an item, remove an item, check if the expected inventory result matches the actual).</a:t>
          </a:r>
        </a:p>
        <a:p>
          <a:pPr lvl="1"/>
          <a:r>
            <a:rPr lang="en-US" sz="1200">
              <a:latin typeface="Bradley Hand ITC" panose="03070402050302030203" pitchFamily="66" charset="0"/>
            </a:rPr>
            <a:t>Then, the code can log “Pass” or “Fail” in </a:t>
          </a:r>
          <a:r>
            <a:rPr lang="en-US" sz="1200" b="1">
              <a:latin typeface="Bradley Hand ITC" panose="03070402050302030203" pitchFamily="66" charset="0"/>
            </a:rPr>
            <a:t>TestSummary</a:t>
          </a:r>
          <a:r>
            <a:rPr lang="en-US" sz="1200">
              <a:latin typeface="Bradley Hand ITC" panose="03070402050302030203" pitchFamily="66" charset="0"/>
            </a:rPr>
            <a:t> so you have a clear record of whether the system behaves as expected.</a:t>
          </a:r>
        </a:p>
        <a:p>
          <a:r>
            <a:rPr lang="en-US" sz="1200" b="1">
              <a:latin typeface="Bradley Hand ITC" panose="03070402050302030203" pitchFamily="66" charset="0"/>
            </a:rPr>
            <a:t>Track Bug Fixes</a:t>
          </a:r>
          <a:endParaRPr lang="en-US" sz="1200">
            <a:latin typeface="Bradley Hand ITC" panose="03070402050302030203" pitchFamily="66" charset="0"/>
          </a:endParaRPr>
        </a:p>
        <a:p>
          <a:pPr lvl="1"/>
          <a:r>
            <a:rPr lang="en-US" sz="1200">
              <a:latin typeface="Bradley Hand ITC" panose="03070402050302030203" pitchFamily="66" charset="0"/>
            </a:rPr>
            <a:t>The sheet can also note which bugs were found, how they were fixed, and a reference to any relevant code modules.</a:t>
          </a:r>
        </a:p>
        <a:p>
          <a:r>
            <a:rPr lang="en-US" sz="1200" b="1">
              <a:latin typeface="Bradley Hand ITC" panose="03070402050302030203" pitchFamily="66" charset="0"/>
            </a:rPr>
            <a:t>How This Might Fit with Your Modules</a:t>
          </a:r>
        </a:p>
        <a:p>
          <a:r>
            <a:rPr lang="en-US" sz="1200" b="1">
              <a:latin typeface="Bradley Hand ITC" panose="03070402050302030203" pitchFamily="66" charset="0"/>
            </a:rPr>
            <a:t>No separate module needed</a:t>
          </a:r>
          <a:r>
            <a:rPr lang="en-US" sz="1200">
              <a:latin typeface="Bradley Hand ITC" panose="03070402050302030203" pitchFamily="66" charset="0"/>
            </a:rPr>
            <a:t> if you prefer to keep test code or logs directly in the </a:t>
          </a:r>
          <a:r>
            <a:rPr lang="en-US" sz="1200" b="1">
              <a:latin typeface="Bradley Hand ITC" panose="03070402050302030203" pitchFamily="66" charset="0"/>
            </a:rPr>
            <a:t>TestSummary</a:t>
          </a:r>
          <a:r>
            <a:rPr lang="en-US" sz="1200">
              <a:latin typeface="Bradley Hand ITC" panose="03070402050302030203" pitchFamily="66" charset="0"/>
            </a:rPr>
            <a:t> sheet.</a:t>
          </a:r>
        </a:p>
        <a:p>
          <a:r>
            <a:rPr lang="en-US" sz="1200">
              <a:latin typeface="Bradley Hand ITC" panose="03070402050302030203" pitchFamily="66" charset="0"/>
            </a:rPr>
            <a:t>If you plan to </a:t>
          </a:r>
          <a:r>
            <a:rPr lang="en-US" sz="1200" b="1">
              <a:latin typeface="Bradley Hand ITC" panose="03070402050302030203" pitchFamily="66" charset="0"/>
            </a:rPr>
            <a:t>automate</a:t>
          </a:r>
          <a:r>
            <a:rPr lang="en-US" sz="1200">
              <a:latin typeface="Bradley Hand ITC" panose="03070402050302030203" pitchFamily="66" charset="0"/>
            </a:rPr>
            <a:t> a series of tests with VBA, you could create a small </a:t>
          </a:r>
          <a:r>
            <a:rPr lang="en-US" sz="1200" b="1">
              <a:latin typeface="Bradley Hand ITC" panose="03070402050302030203" pitchFamily="66" charset="0"/>
            </a:rPr>
            <a:t>modTestAutomation</a:t>
          </a:r>
          <a:r>
            <a:rPr lang="en-US" sz="1200">
              <a:latin typeface="Bradley Hand ITC" panose="03070402050302030203" pitchFamily="66" charset="0"/>
            </a:rPr>
            <a:t> or </a:t>
          </a:r>
          <a:r>
            <a:rPr lang="en-US" sz="1200" b="1">
              <a:latin typeface="Bradley Hand ITC" panose="03070402050302030203" pitchFamily="66" charset="0"/>
            </a:rPr>
            <a:t>mdlTesting</a:t>
          </a:r>
          <a:r>
            <a:rPr lang="en-US" sz="1200">
              <a:latin typeface="Bradley Hand ITC" panose="03070402050302030203" pitchFamily="66" charset="0"/>
            </a:rPr>
            <a:t> module to run them. That module might: </a:t>
          </a:r>
        </a:p>
        <a:p>
          <a:pPr lvl="1"/>
          <a:r>
            <a:rPr lang="en-US" sz="1200">
              <a:latin typeface="Bradley Hand ITC" panose="03070402050302030203" pitchFamily="66" charset="0"/>
            </a:rPr>
            <a:t>Contain procedures like RunAllTests or Test_AddInventory, Test_DeductInventory.</a:t>
          </a:r>
        </a:p>
        <a:p>
          <a:pPr lvl="1"/>
          <a:r>
            <a:rPr lang="en-US" sz="1200">
              <a:latin typeface="Bradley Hand ITC" panose="03070402050302030203" pitchFamily="66" charset="0"/>
            </a:rPr>
            <a:t>Write results to the </a:t>
          </a:r>
          <a:r>
            <a:rPr lang="en-US" sz="1200" b="1">
              <a:latin typeface="Bradley Hand ITC" panose="03070402050302030203" pitchFamily="66" charset="0"/>
            </a:rPr>
            <a:t>TestSummary</a:t>
          </a:r>
          <a:r>
            <a:rPr lang="en-US" sz="1200">
              <a:latin typeface="Bradley Hand ITC" panose="03070402050302030203" pitchFamily="66" charset="0"/>
            </a:rPr>
            <a:t> sheet automatically.</a:t>
          </a:r>
        </a:p>
        <a:p>
          <a:r>
            <a:rPr lang="en-US" sz="1200" b="1">
              <a:latin typeface="Bradley Hand ITC" panose="03070402050302030203" pitchFamily="66" charset="0"/>
            </a:rPr>
            <a:t>Example Testing Structure</a:t>
          </a:r>
        </a:p>
        <a:p>
          <a:r>
            <a:rPr lang="en-US" sz="1200">
              <a:latin typeface="Bradley Hand ITC" panose="03070402050302030203" pitchFamily="66" charset="0"/>
            </a:rPr>
            <a:t>' --- mdlTesting --- Option Explicit Public Sub RunAllTests() Call Test_AddInventory Call Test_DeductInventory ' ... more tests ... End Sub Private Sub Test_AddInventory() Dim passFail As String ' 1. Setup test data ' 2. Call your code to add inventory ' 3. Check the new inventory amount to see if it matches expected ' 4. Log result to TestSummary passFail = "Pass" ' or "Fail" LogTestResult "Test_AddInventory", passFail End Sub Private Sub Test_DeductInventory() ' Similar pattern End Sub Private Sub LogTestResult(testName As String, result As String) Dim ws As Worksheet Set ws = ThisWorkbook.Worksheets("TestSummary") Dim nextRow As Long nextRow = ws.Cells(ws.Rows.Count, 1).End(xlUp).Row + 1 ws.Cells(nextRow, 1).Value = Now ws.Cells(nextRow, 2).Value = testName ws.Cells(nextRow, 3).Value = result End Sub </a:t>
          </a:r>
          <a:r>
            <a:rPr lang="en-US" sz="1200" b="1">
              <a:latin typeface="Bradley Hand ITC" panose="03070402050302030203" pitchFamily="66" charset="0"/>
            </a:rPr>
            <a:t>RunAllTests</a:t>
          </a:r>
          <a:r>
            <a:rPr lang="en-US" sz="1200">
              <a:latin typeface="Bradley Hand ITC" panose="03070402050302030203" pitchFamily="66" charset="0"/>
            </a:rPr>
            <a:t> orchestrates multiple test procedures.</a:t>
          </a:r>
        </a:p>
        <a:p>
          <a:r>
            <a:rPr lang="en-US" sz="1200">
              <a:latin typeface="Bradley Hand ITC" panose="03070402050302030203" pitchFamily="66" charset="0"/>
            </a:rPr>
            <a:t>Each test procedure performs a small test scenario, then calls LogTestResult to record the outcome in </a:t>
          </a:r>
          <a:r>
            <a:rPr lang="en-US" sz="1200" b="1">
              <a:latin typeface="Bradley Hand ITC" panose="03070402050302030203" pitchFamily="66" charset="0"/>
            </a:rPr>
            <a:t>TestSummary</a:t>
          </a:r>
          <a:r>
            <a:rPr lang="en-US" sz="1200">
              <a:latin typeface="Bradley Hand ITC" panose="03070402050302030203" pitchFamily="66" charset="0"/>
            </a:rPr>
            <a:t>.</a:t>
          </a:r>
        </a:p>
        <a:p>
          <a:r>
            <a:rPr lang="en-US" sz="1200" b="1">
              <a:latin typeface="Bradley Hand ITC" panose="03070402050302030203" pitchFamily="66" charset="0"/>
            </a:rPr>
            <a:t>TestSummary</a:t>
          </a:r>
          <a:r>
            <a:rPr lang="en-US" sz="1200">
              <a:latin typeface="Bradley Hand ITC" panose="03070402050302030203" pitchFamily="66" charset="0"/>
            </a:rPr>
            <a:t> might have columns like </a:t>
          </a:r>
          <a:r>
            <a:rPr lang="en-US" sz="1200" b="1">
              <a:latin typeface="Bradley Hand ITC" panose="03070402050302030203" pitchFamily="66" charset="0"/>
            </a:rPr>
            <a:t>[DateTime | TestName | Result]</a:t>
          </a:r>
          <a:r>
            <a:rPr lang="en-US" sz="1200">
              <a:latin typeface="Bradley Hand ITC" panose="03070402050302030203" pitchFamily="66" charset="0"/>
            </a:rPr>
            <a:t>.</a:t>
          </a:r>
        </a:p>
        <a:p>
          <a:r>
            <a:rPr lang="en-US" sz="1200" b="1">
              <a:latin typeface="Bradley Hand ITC" panose="03070402050302030203" pitchFamily="66" charset="0"/>
            </a:rPr>
            <a:t>In Summary</a:t>
          </a:r>
        </a:p>
        <a:p>
          <a:r>
            <a:rPr lang="en-US" sz="1200" b="1">
              <a:latin typeface="Bradley Hand ITC" panose="03070402050302030203" pitchFamily="66" charset="0"/>
            </a:rPr>
            <a:t>TestSummary</a:t>
          </a:r>
          <a:r>
            <a:rPr lang="en-US" sz="1200">
              <a:latin typeface="Bradley Hand ITC" panose="03070402050302030203" pitchFamily="66" charset="0"/>
            </a:rPr>
            <a:t> is a sheet for manual or automated testing records.</a:t>
          </a:r>
        </a:p>
        <a:p>
          <a:r>
            <a:rPr lang="en-US" sz="1200">
              <a:latin typeface="Bradley Hand ITC" panose="03070402050302030203" pitchFamily="66" charset="0"/>
            </a:rPr>
            <a:t>You don’t necessarily need a separate code module unless you want to automate test runs.</a:t>
          </a:r>
        </a:p>
        <a:p>
          <a:r>
            <a:rPr lang="en-US" sz="1200">
              <a:latin typeface="Bradley Hand ITC" panose="03070402050302030203" pitchFamily="66" charset="0"/>
            </a:rPr>
            <a:t>If you do automate, a small </a:t>
          </a:r>
          <a:r>
            <a:rPr lang="en-US" sz="1200" b="1">
              <a:latin typeface="Bradley Hand ITC" panose="03070402050302030203" pitchFamily="66" charset="0"/>
            </a:rPr>
            <a:t>testing module</a:t>
          </a:r>
          <a:r>
            <a:rPr lang="en-US" sz="1200">
              <a:latin typeface="Bradley Hand ITC" panose="03070402050302030203" pitchFamily="66" charset="0"/>
            </a:rPr>
            <a:t> helps keep test code in one place, and you can maintain a quick, repeatable testing workflow.</a:t>
          </a:r>
        </a:p>
        <a:p>
          <a:endParaRPr lang="en-US" sz="1100" kern="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2D96952-85D6-457F-BCE7-6E4F8103F5A4}" name="invSys" displayName="invSys" ref="A3:T64">
  <autoFilter ref="A3:T64" xr:uid="{12D96952-85D6-457F-BCE7-6E4F8103F5A4}"/>
  <tableColumns count="20">
    <tableColumn id="19" xr3:uid="{920FEE3D-3DF9-4ED5-AE14-9B831A36DC2A}" name="ROW" totalsRowLabel="Total" dataDxfId="109" totalsRowDxfId="108"/>
    <tableColumn id="20" xr3:uid="{499DCF84-780C-47C1-BACC-298E5068ACE0}" name="ITEM_CODE" dataDxfId="107" totalsRowDxfId="106"/>
    <tableColumn id="2" xr3:uid="{2DE47ECD-7FD0-4226-B321-C5F28DDE6888}" name="VENDOR(s)" dataDxfId="105" totalsRowDxfId="104"/>
    <tableColumn id="1" xr3:uid="{3FE3BFCB-8C7C-4FD9-8C27-FFD919B276B6}" name="SUBSTITUTION" dataDxfId="103" totalsRowDxfId="102"/>
    <tableColumn id="3" xr3:uid="{579F8BA6-640E-4814-8D8F-0DE433CB6BEF}" name="CATEGORY" dataDxfId="101" totalsRowDxfId="100"/>
    <tableColumn id="4" xr3:uid="{84A1581B-7199-4A06-8C0A-7137BAF6EF0E}" name="PHASE" dataDxfId="99" totalsRowDxfId="98"/>
    <tableColumn id="5" xr3:uid="{A6E1D618-EB36-4EAB-8858-A986F6A9B666}" name="ASSIGNEE" dataDxfId="97" totalsRowDxfId="96"/>
    <tableColumn id="6" xr3:uid="{F74D12ED-57CC-43F8-BAED-1F598244BD04}" name="DESCRIPTION" dataDxfId="95" totalsRowDxfId="94"/>
    <tableColumn id="7" xr3:uid="{B078E4E9-CF92-41E2-B686-F5811734A533}" name="ITEM" dataDxfId="93" totalsRowDxfId="92"/>
    <tableColumn id="8" xr3:uid="{94A70F6F-ADEC-44DF-8552-872E5549A978}" name="UOM" dataDxfId="91" totalsRowDxfId="90"/>
    <tableColumn id="9" xr3:uid="{7BBCD26F-420D-4391-A556-883B39A1B0E0}" name="LOCATION" dataDxfId="89" totalsRowDxfId="88"/>
    <tableColumn id="10" xr3:uid="{EDE26B48-AB4B-40A4-97B0-76A5BE8B0F50}" name="RECEIVED" dataDxfId="87" totalsRowDxfId="86"/>
    <tableColumn id="11" xr3:uid="{38B16702-A8AF-44AC-9A18-5D37600DA17A}" name="USED" dataDxfId="85" totalsRowDxfId="84"/>
    <tableColumn id="12" xr3:uid="{A1189CC9-689F-49F9-A670-52D58B58E612}" name="MADE" dataDxfId="83" totalsRowDxfId="82"/>
    <tableColumn id="13" xr3:uid="{E0D5A187-3A5B-402D-977A-C758F2E412A0}" name="SHIPMENTS" dataDxfId="81" totalsRowDxfId="80"/>
    <tableColumn id="14" xr3:uid="{F177F193-5706-4EC4-9471-314712F3A342}" name="ADJUSTMENTS" dataDxfId="79" totalsRowDxfId="78"/>
    <tableColumn id="15" xr3:uid="{998ADE21-E715-4495-8502-DD961D7B2565}" name="TOTAL INV" dataDxfId="77" totalsRowDxfId="76"/>
    <tableColumn id="16" xr3:uid="{64653BA9-B04A-45AA-9E2A-FF9BEC226D0D}" name="LOSS" dataDxfId="75" totalsRowDxfId="74"/>
    <tableColumn id="17" xr3:uid="{B7FFBEA2-58A4-48DB-8569-A185FE14B501}" name="LAST EDITED" dataDxfId="73" totalsRowDxfId="72"/>
    <tableColumn id="18" xr3:uid="{90581AE8-9EBE-4F2C-A68C-A98AD617C0CF}" name="TOTAL INV LAST EDIT" totalsRowFunction="count" dataDxfId="71" totalsRowDxfId="70"/>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ACA6C7-BC26-4030-885F-73DFCA0CE57A}" name="ReceivedTally" displayName="ReceivedTally" ref="C2:F4" headerRowDxfId="69">
  <autoFilter ref="C2:F4" xr:uid="{02ACA6C7-BC26-4030-885F-73DFCA0CE57A}"/>
  <tableColumns count="4">
    <tableColumn id="1" xr3:uid="{43AF4D34-69DC-404E-9AC9-3416D047EC16}" name="REF_NUMBER" totalsRowLabel="Total" dataDxfId="68"/>
    <tableColumn id="2" xr3:uid="{8BE7DEB5-1755-420E-8D35-BE54D32F7FFD}" name="ITEMS" dataDxfId="67"/>
    <tableColumn id="3" xr3:uid="{3102ED96-B211-4A72-A557-D01F193B4751}" name="QUANTITY" dataDxfId="66"/>
    <tableColumn id="5" xr3:uid="{18CC7128-090B-4FEF-A118-D3A5CAAC0069}" name="PRICE" totalsRowFunction="sum" dataCellStyle="Currency"/>
  </tableColumns>
  <tableStyleInfo name="TableStyleMedium2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3A5ED1-A332-456E-9B3E-002EA1527FC8}" name="invSysData_Receiving" displayName="invSysData_Receiving" ref="H2:N4" headerRowDxfId="65">
  <autoFilter ref="H2:N4" xr:uid="{DC3A5ED1-A332-456E-9B3E-002EA1527FC8}"/>
  <tableColumns count="7">
    <tableColumn id="1" xr3:uid="{0D1C7B76-8596-4F10-A869-CA3644AF0E5A}" name="UOM" totalsRowLabel="Total"/>
    <tableColumn id="2" xr3:uid="{3D75167F-175F-4BF5-B859-7D41A99D94A6}" name="VENDOR"/>
    <tableColumn id="3" xr3:uid="{DF672313-02B3-471C-B3E2-8DF9DCA9B848}" name="LOCATION"/>
    <tableColumn id="4" xr3:uid="{AFB18EA0-7C84-43AB-B8C7-09AC0986FD3F}" name="ITEM_CODE"/>
    <tableColumn id="5" xr3:uid="{0951AA23-150F-4EFF-BDAD-30E992300D3B}" name="ROW"/>
    <tableColumn id="6" xr3:uid="{5D1EE91F-9643-4209-A51F-5FEE7003CDC2}" name="ENTRY_DATE"/>
    <tableColumn id="7" xr3:uid="{98AF0E13-7C29-4957-8CEF-A23B46C97757}" name="TALLY_ROW" totalsRowFunction="sum" dataDxfId="64" totalsRowDxfId="6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829050-8EB5-468C-9E9D-8DEC48CE1277}" name="ReceivingSavedList" displayName="ReceivingSavedList" ref="A2:A3" insertRow="1" totalsRowShown="0">
  <autoFilter ref="A2:A3" xr:uid="{68829050-8EB5-468C-9E9D-8DEC48CE1277}"/>
  <tableColumns count="1">
    <tableColumn id="1" xr3:uid="{CA8D7B1A-FA9E-437E-B8DC-26AFEFBC37E6}" name="SAVED LIS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85DF22-9CF1-43C5-BFA1-81ED4285768A}" name="ShipmentsTally" displayName="ShipmentsTally" ref="C2:E6" totalsRowShown="0" headerRowDxfId="62" dataDxfId="61">
  <autoFilter ref="C2:E6" xr:uid="{5585DF22-9CF1-43C5-BFA1-81ED4285768A}"/>
  <tableColumns count="3">
    <tableColumn id="1" xr3:uid="{DDBACCEB-7A45-4BD8-9D0A-ACF3526C8791}" name="ORDER_NUMBER" dataDxfId="60"/>
    <tableColumn id="2" xr3:uid="{ACAE6307-E8BF-48CF-9EEC-4075F2629C2E}" name="ITEMS" dataDxfId="59"/>
    <tableColumn id="3" xr3:uid="{CA67B519-3A11-4D4D-9899-3724D8CBAA80}" name="QUANTITY" dataDxfId="58"/>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CAEFA24-5F5F-4BCB-93CD-E0FE65BC442A}" name="invSysData_Shipping" displayName="invSysData_Shipping" ref="G2:M6" totalsRowShown="0" headerRowDxfId="57" dataDxfId="56">
  <autoFilter ref="G2:M6" xr:uid="{7CAEFA24-5F5F-4BCB-93CD-E0FE65BC442A}"/>
  <tableColumns count="7">
    <tableColumn id="1" xr3:uid="{05E14E64-5153-4F12-B8B5-B4F6E6F2BE66}" name="UOM" dataDxfId="55"/>
    <tableColumn id="2" xr3:uid="{E7A5E232-793A-45A3-BECC-F26CF3B14D23}" name="VENDOR" dataDxfId="54"/>
    <tableColumn id="3" xr3:uid="{202DB040-71C7-4420-97D3-AED67B8C9F60}" name="LOCATION" dataDxfId="53"/>
    <tableColumn id="4" xr3:uid="{FDB8C012-6CD2-422A-8198-BCA88673AFBD}" name="ITEM_CODE" dataDxfId="52"/>
    <tableColumn id="5" xr3:uid="{2F15422A-C7A3-4B6D-86DE-895345E5AAF3}" name="ROW" dataDxfId="51"/>
    <tableColumn id="6" xr3:uid="{2B60FA8E-BA3D-4A09-A38A-72D172F3095C}" name="ENTRY_DATE" dataDxfId="50"/>
    <tableColumn id="7" xr3:uid="{944BD967-2430-4021-B6CA-B7FC50435057}" name="TALLY_ROW"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9A03B08-8CFC-4008-A90C-52E6D0E19100}" name="ShippingSavedList" displayName="ShippingSavedList" ref="A2:A3" insertRow="1" totalsRowShown="0" headerRowDxfId="48" dataDxfId="47">
  <autoFilter ref="A2:A3" xr:uid="{59A03B08-8CFC-4008-A90C-52E6D0E19100}"/>
  <tableColumns count="1">
    <tableColumn id="1" xr3:uid="{8CE808E0-7C64-4EDC-BA73-F4D70319B61D}" name="SAVED LIST"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0D3B420-CB33-4FF1-A44C-8EB16B7CB0CB}" name="Table19" displayName="Table19" ref="P5:Q18" totalsRowShown="0" headerRowDxfId="45">
  <autoFilter ref="P5:Q18" xr:uid="{90D3B420-CB33-4FF1-A44C-8EB16B7CB0CB}"/>
  <tableColumns count="2">
    <tableColumn id="1" xr3:uid="{C7392521-8D61-4DBD-9CFD-95B7A7B239B3}" name="frmReceivedTally" dataDxfId="44"/>
    <tableColumn id="2" xr3:uid="{7D47C6FA-97A1-43B1-9682-120FAA2E34C1}" name="frmShipmentsTally" dataDxfId="4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CDFE1DD-900B-4062-B183-DAB140BB1C75}" name="Recipes" displayName="Recipes" ref="A1:N66" totalsRowShown="0" headerRowDxfId="42" dataDxfId="41">
  <autoFilter ref="A1:N66" xr:uid="{3CDFE1DD-900B-4062-B183-DAB140BB1C75}"/>
  <tableColumns count="14">
    <tableColumn id="1" xr3:uid="{782CA5A5-271D-4E80-858B-93CB04DEBD1A}" name="ROW" dataDxfId="40"/>
    <tableColumn id="12" xr3:uid="{AE3D68A1-9070-476A-B11A-B63084875F91}" name="Rcode" dataDxfId="39"/>
    <tableColumn id="14" xr3:uid="{E739017D-3E07-4B4B-A9C7-98955F43E4EE}" name="Rcount" dataDxfId="38"/>
    <tableColumn id="13" xr3:uid="{B64334C3-B3A3-4711-8057-846559A12341}" name="RECIPE" dataDxfId="37"/>
    <tableColumn id="11" xr3:uid="{C57D3E62-7FD4-4866-82A0-8A3C8C735113}" name="DEPARTMENT" dataDxfId="36"/>
    <tableColumn id="9" xr3:uid="{FE03391A-8891-4571-8227-F9643C92FF61}" name="DESCRIPTION" dataDxfId="35"/>
    <tableColumn id="2" xr3:uid="{420169DB-FE9D-46AA-86E5-2E05F5F937A2}" name="PROCESS" dataDxfId="34"/>
    <tableColumn id="8" xr3:uid="{5164E792-862D-4F9E-B4B6-BB17FF264D5F}" name="INPUT/OUTPUT" dataDxfId="33"/>
    <tableColumn id="3" xr3:uid="{C1C5A2E7-9A87-4A38-B5D5-82D1A1C1782A}" name="INGREDIENT" dataDxfId="32"/>
    <tableColumn id="10" xr3:uid="{B91D7569-8941-49AC-8004-9837880E7DF9}" name="PERCENT" dataDxfId="31" dataCellStyle="Percent"/>
    <tableColumn id="16" xr3:uid="{F0A9F481-F184-4898-816D-FBFC744976A1}" name="UOM" dataDxfId="30"/>
    <tableColumn id="4" xr3:uid="{23ABC8F1-F56C-4898-8884-4CFDE2FCB1F3}" name="AMOUNT" dataDxfId="29"/>
    <tableColumn id="6" xr3:uid="{2523AE55-FDAA-40DA-BE55-5F8F65378361}" name="CUMULATIVE" dataDxfId="28"/>
    <tableColumn id="7" xr3:uid="{C5329F6B-ABD1-446A-BAFA-DD062992F44E}" name="PRICE" dataDxfId="27"/>
  </tableColumns>
  <tableStyleInfo name="TableStyleMedium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5E8C86F-9C5C-42AA-BBD2-FBD072259574}" name="Substitutions" displayName="Substitutions" ref="A1:A2" insertRow="1" totalsRowShown="0">
  <autoFilter ref="A1:A2" xr:uid="{65E8C86F-9C5C-42AA-BBD2-FBD072259574}"/>
  <tableColumns count="1">
    <tableColumn id="1" xr3:uid="{D1AA0CD6-5565-4203-8938-19B2AE615F32}" name="Column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6EE234-8ADB-4C1E-972F-24EE385379B2}" name="InventoryLog" displayName="InventoryLog" ref="A1:H144" totalsRowShown="0" headerRowDxfId="26" dataDxfId="25">
  <autoFilter ref="A1:H144" xr:uid="{646EE234-8ADB-4C1E-972F-24EE385379B2}"/>
  <tableColumns count="8">
    <tableColumn id="1" xr3:uid="{919E4A61-2C11-41DE-A01C-16D3F827CD5A}" name="LOG_ID" dataDxfId="24"/>
    <tableColumn id="2" xr3:uid="{83B88ADE-B8DE-459A-8F9D-4CB0C8AA4420}" name="USER" dataDxfId="23"/>
    <tableColumn id="3" xr3:uid="{7DD7D860-B0C1-4FF5-9120-2828D90B30BB}" name="ACTION" dataDxfId="22"/>
    <tableColumn id="4" xr3:uid="{CF725FF8-A99C-44B0-8CD5-820C3072A0EF}" name="ITEM_CODE" dataDxfId="21"/>
    <tableColumn id="5" xr3:uid="{39026A36-CBE4-49FC-B781-960B6E033203}" name="ITEM_NAME" dataDxfId="20"/>
    <tableColumn id="6" xr3:uid="{9FD7C240-7D93-4573-AC0F-25D70EE8856D}" name="QUANTITY_CHANGE" dataDxfId="19"/>
    <tableColumn id="8" xr3:uid="{44346341-64F9-48B4-8FC4-BF699761C782}" name="NEW_QUANTITY" dataDxfId="18"/>
    <tableColumn id="9" xr3:uid="{1F0799D0-803A-4790-99BA-70AFB564874A}" name="TIMESTAMP" dataDxfId="17"/>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E4B4CC0-1C8A-4E41-B300-BDA7B2D6DEF4}" name="ReceivedLog" displayName="ReceivedLog" ref="A1:J6" totalsRowShown="0">
  <autoFilter ref="A1:J6" xr:uid="{0E4B4CC0-1C8A-4E41-B300-BDA7B2D6DEF4}"/>
  <tableColumns count="10">
    <tableColumn id="1" xr3:uid="{A8C2ACFF-CF66-46DC-B028-EC4B2BE7B9A9}" name="REF_NUMBER"/>
    <tableColumn id="2" xr3:uid="{4746051C-8C9A-412E-B320-CF5B47C640A4}" name="ITEMS"/>
    <tableColumn id="3" xr3:uid="{BD736EFD-4AB6-477F-BD87-F6973C4032F4}" name="QUANTITY"/>
    <tableColumn id="4" xr3:uid="{624B0311-DE38-4BB1-83D5-9EAA35B50399}" name="PRICE"/>
    <tableColumn id="5" xr3:uid="{31D1CE82-D772-49CB-AD24-31C5F72CCDF8}" name="UOM"/>
    <tableColumn id="6" xr3:uid="{833AEC52-7CA3-4A40-8B23-23076E97FDC5}" name="VENDOR"/>
    <tableColumn id="7" xr3:uid="{44EB7446-DF07-4869-AD9F-2E1B609A4281}" name="LOCATION"/>
    <tableColumn id="8" xr3:uid="{01F335F8-F5DE-41F4-ABE6-07F2E6E6D16C}" name="ITEM_CODE"/>
    <tableColumn id="9" xr3:uid="{8C1301F4-74A4-4F11-BDD7-7CC4560287CF}" name="ROW"/>
    <tableColumn id="10" xr3:uid="{A642FFC3-2391-45C4-95E3-602236845EED}" name="ENTRY_DATE"/>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2FEFB6C-78F5-40A0-9413-9A9C4AF1CD21}" name="ShipmentsLog" displayName="ShipmentsLog" ref="A1:I4" totalsRowShown="0">
  <autoFilter ref="A1:I4" xr:uid="{A2FEFB6C-78F5-40A0-9413-9A9C4AF1CD21}"/>
  <tableColumns count="9">
    <tableColumn id="1" xr3:uid="{635B60B0-2F9E-4912-A309-6D779F951DA7}" name="ORDER_NUMBER"/>
    <tableColumn id="2" xr3:uid="{7B14D439-0F7F-4C3D-A6DA-A76E3DBC6CC5}" name="ITEMS"/>
    <tableColumn id="3" xr3:uid="{EB79DA46-FAD4-43C7-9472-DA650D99E788}" name="QUANTITY"/>
    <tableColumn id="4" xr3:uid="{9EC6EC4B-8D68-4216-A365-10EEAABE05F9}" name="UOM"/>
    <tableColumn id="5" xr3:uid="{D946CB9D-8937-4178-BEE0-1AC8D6BEE4A1}" name="VENDOR"/>
    <tableColumn id="6" xr3:uid="{4B57A648-E4D0-4C3E-8420-B1CCB2E95E29}" name="LOCATION"/>
    <tableColumn id="7" xr3:uid="{53C2F505-AA85-438E-BF03-6981327D6C22}" name="ITEM_CODE"/>
    <tableColumn id="8" xr3:uid="{2E9C80E2-E0C1-4D04-8407-D7D4BEF06378}" name="ROW"/>
    <tableColumn id="9" xr3:uid="{8A2B5845-9F73-4C9C-9187-5B9FD5E56414}" name="ENTRY_DAT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D085FCA-62B9-440D-85DB-B7BE26E81F56}" name="Department_Codes" displayName="Department_Codes" ref="A1:B4" totalsRowShown="0">
  <autoFilter ref="A1:B4" xr:uid="{8D085FCA-62B9-440D-85DB-B7BE26E81F56}"/>
  <tableColumns count="2">
    <tableColumn id="1" xr3:uid="{74A3D191-0E8B-4E62-A484-AE9B2E3251A0}" name="DEPARTMENT CODES" dataDxfId="16"/>
    <tableColumn id="2" xr3:uid="{65DD7D4A-7D20-4CB8-A251-D70D279F09FE}" name="TABLE NAM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8BD1885-36F5-47D4-A387-3E22246379B1}" name="ingredient_Codes" displayName="ingredient_Codes" ref="D1:E2" totalsRowShown="0">
  <autoFilter ref="D1:E2" xr:uid="{B8BD1885-36F5-47D4-A387-3E22246379B1}"/>
  <tableColumns count="2">
    <tableColumn id="1" xr3:uid="{93E0F67A-D363-4633-84B6-8B8EF98EB499}" name="INGREDIENTS"/>
    <tableColumn id="2" xr3:uid="{40C218D6-FC6A-41EB-AFD2-C2F2AA5FFE5A}" name="CODE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2F7412A-AE14-4D2C-B732-9F08B10FD42F}" name="tblSunset" displayName="tblSunset" ref="A3:E4" insertRow="1" totalsRowShown="0" headerRowDxfId="15">
  <autoFilter ref="A3:E4" xr:uid="{72F7412A-AE14-4D2C-B732-9F08B10FD42F}"/>
  <tableColumns count="5">
    <tableColumn id="1" xr3:uid="{6E79C280-20C9-4A22-AF4E-A908B023E1F0}" name="Subsystem" dataDxfId="14"/>
    <tableColumn id="2" xr3:uid="{B7702AF5-68BF-4493-B022-62FDEA47D4D8}" name="Old procedure(s)"/>
    <tableColumn id="3" xr3:uid="{200FAB6A-CFED-4CF7-AA4E-DF710805B11C}" name="New replacement"/>
    <tableColumn id="4" xr3:uid="{037FDAF0-B073-4005-96CB-3CB8430F5D2A}" name="Status"/>
    <tableColumn id="5" xr3:uid="{E1C7FE0C-F24B-47ED-AC25-5A75F480EDAD}" name="Notes"/>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1C4D832-4778-4188-B720-1B94A60C799D}" name="Emails" displayName="Emails" ref="A2:C4" totalsRowShown="0" tableBorderDxfId="13">
  <autoFilter ref="A2:C4" xr:uid="{C1C4D832-4778-4188-B720-1B94A60C799D}"/>
  <tableColumns count="3">
    <tableColumn id="1" xr3:uid="{2EC33763-BFC8-449C-BFCA-98DD7DAA19E2}" name="NAME"/>
    <tableColumn id="2" xr3:uid="{7E704E1A-B99B-407F-9920-2BD5EB9D1C1B}" name="EMAIL"/>
    <tableColumn id="3" xr3:uid="{69CAE814-7B56-4B71-872B-FEFB1C1FF360}" name="ROL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48593B-2239-4053-BD26-3652B383A57D}" name="UserCredentials" displayName="UserCredentials" ref="A1:G4" totalsRowShown="0" headerRowDxfId="12" dataDxfId="11">
  <autoFilter ref="A1:G4" xr:uid="{B548593B-2239-4053-BD26-3652B383A57D}"/>
  <tableColumns count="7">
    <tableColumn id="1" xr3:uid="{E40EA3C7-8013-4A16-8C24-FEE1B2009C17}" name="USER_ID" dataDxfId="10"/>
    <tableColumn id="2" xr3:uid="{FDE8AFCC-F3AB-455E-B174-FD36081DAA1C}" name="USERNAME" dataDxfId="9"/>
    <tableColumn id="3" xr3:uid="{6793B4AE-A5AC-453F-A3DB-D45ED397C303}" name="PIN" dataDxfId="8"/>
    <tableColumn id="4" xr3:uid="{AC440468-45A0-4592-BBE0-49583B11A181}" name="ROLE" dataDxfId="7"/>
    <tableColumn id="5" xr3:uid="{E36A3761-1A80-484F-8580-B652C7B16E2D}" name="STATUS" dataDxfId="6"/>
    <tableColumn id="6" xr3:uid="{5D95467D-D0AA-49E3-A2FA-783AF634E5D4}" name="LAST LOGIN" dataDxfId="5"/>
    <tableColumn id="7" xr3:uid="{17E85F08-1A4F-4938-9C96-7A541B524BAB}" name="PIN RESET" dataDxfId="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49A864C-252E-4F1B-B60A-1F3F2BAFADD1}" name="tblRoles" displayName="tblRoles" ref="I1:I3" totalsRowShown="0" headerRowDxfId="3" dataDxfId="2">
  <autoFilter ref="I1:I3" xr:uid="{849A864C-252E-4F1B-B60A-1F3F2BAFADD1}"/>
  <tableColumns count="1">
    <tableColumn id="1" xr3:uid="{C8E7788C-4FE2-4EC1-B3DB-DC3D52C18C50}" name="Roles" dataDxfId="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78CB4E1-F87C-4DFB-BAD6-2F2D9B06EB25}" name="ErrorLog" displayName="ErrorLog" ref="A1:D3" totalsRowShown="0">
  <autoFilter ref="A1:D3" xr:uid="{378CB4E1-F87C-4DFB-BAD6-2F2D9B06EB25}"/>
  <tableColumns count="4">
    <tableColumn id="1" xr3:uid="{BFD6B55E-9E79-424E-86C7-CF8E1A04F411}" name="DATE/TIME" dataDxfId="0"/>
    <tableColumn id="2" xr3:uid="{807AD21D-05E3-4990-A143-869DBAE14BB8}" name="PROCEDURE CONTEXT"/>
    <tableColumn id="3" xr3:uid="{07DBB38B-056F-4065-A6A2-0890CB9D38D7}" name="ERROR NUMBER"/>
    <tableColumn id="4" xr3:uid="{52AF87D5-C98E-4257-AFBC-58FC1C373440}" name="ERROR 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2.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2.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5.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8.xml"/><Relationship Id="rId4" Type="http://schemas.openxmlformats.org/officeDocument/2006/relationships/ctrlProp" Target="../ctrlProps/ctrlProp16.xml"/><Relationship Id="rId9"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vmlDrawing" Target="../drawings/vmlDrawing5.vml"/><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hyperlink" Target="mailto:billjahn@blackscottiechai.onmicrosoft.com" TargetMode="External"/><Relationship Id="rId1" Type="http://schemas.openxmlformats.org/officeDocument/2006/relationships/hyperlink" Target="mailto:justinwj@blackscottiechai.onmicrosoft.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3" Type="http://schemas.openxmlformats.org/officeDocument/2006/relationships/hyperlink" Target="../../../Justinwj/_layouts/OneNote.aspx?id=%2Fsites%2FJustinwj%2FSiteAssets%2FExcel%20invSys%20NOTES&amp;wd=target%28NOTES.one%7CD4728EEE-A76C-4DF9-8EE6-C50A78D5965C%2FThursday%2C%20February%2020%2C%202025%7C7FFDCD3E-BF19-4A34-882D-B60203CEC641%2F%29" TargetMode="External"/><Relationship Id="rId2" Type="http://schemas.openxmlformats.org/officeDocument/2006/relationships/hyperlink" Target="../../../Justinwj/_layouts/OneNote.aspx?id=%2Fsites%2FJustinwj%2FSiteAssets%2FExcel%20invSys%20NOTES&amp;wd=target%28NOTES.one%7CD4728EEE-A76C-4DF9-8EE6-C50A78D5965C%2FThursday%2C%20February%2020%2C%202025%7C7FFDCD3E-BF19-4A34-882D-B60203CEC641%2F%29" TargetMode="External"/><Relationship Id="rId1" Type="http://schemas.openxmlformats.org/officeDocument/2006/relationships/hyperlink" Target="https://www.reddit.com/r/smallbusiness/comments/jlv3nv/im_thinking_of_buying_a_tablet_for_easier/" TargetMode="Externa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8324-2C68-4767-BBC6-4760D96C8F76}">
  <sheetPr codeName="InventoryManagement"/>
  <dimension ref="A1:T64"/>
  <sheetViews>
    <sheetView workbookViewId="0">
      <selection activeCell="L13" sqref="L13"/>
    </sheetView>
  </sheetViews>
  <sheetFormatPr defaultColWidth="9" defaultRowHeight="18.5"/>
  <cols>
    <col min="1" max="1" width="6.5" style="1" bestFit="1" customWidth="1"/>
    <col min="2" max="2" width="15.25" style="1" bestFit="1" customWidth="1"/>
    <col min="3" max="3" width="17" style="1" bestFit="1" customWidth="1"/>
    <col min="4" max="4" width="17" style="1" customWidth="1"/>
    <col min="5" max="5" width="23.33203125" style="1" customWidth="1"/>
    <col min="6" max="7" width="17.25" style="1" customWidth="1"/>
    <col min="8" max="8" width="15.58203125" style="1" customWidth="1"/>
    <col min="9" max="9" width="34.5" style="1" bestFit="1" customWidth="1"/>
    <col min="10" max="10" width="9" style="2" customWidth="1"/>
    <col min="11" max="11" width="11.75" style="1" customWidth="1"/>
    <col min="12" max="12" width="12.08203125" style="7" bestFit="1" customWidth="1"/>
    <col min="13" max="13" width="9" style="7" customWidth="1"/>
    <col min="14" max="14" width="10.25" style="7" customWidth="1"/>
    <col min="15" max="15" width="13.08203125" style="7" bestFit="1" customWidth="1"/>
    <col min="16" max="16" width="15.58203125" style="7" bestFit="1" customWidth="1"/>
    <col min="17" max="17" width="15.83203125" style="15" customWidth="1"/>
    <col min="18" max="18" width="9" style="1" customWidth="1"/>
    <col min="19" max="19" width="22.08203125" style="17" customWidth="1"/>
    <col min="20" max="20" width="24.83203125" style="1" bestFit="1" customWidth="1"/>
    <col min="21" max="16384" width="9" style="1"/>
  </cols>
  <sheetData>
    <row r="1" spans="1:20" ht="33" customHeight="1"/>
    <row r="2" spans="1:20">
      <c r="I2" s="3"/>
    </row>
    <row r="3" spans="1:20">
      <c r="A3" s="44" t="s">
        <v>423</v>
      </c>
      <c r="B3" s="47" t="s">
        <v>106</v>
      </c>
      <c r="C3" s="1" t="s">
        <v>104</v>
      </c>
      <c r="D3" s="1" t="s">
        <v>489</v>
      </c>
      <c r="E3" s="1" t="s">
        <v>0</v>
      </c>
      <c r="F3" s="1" t="s">
        <v>63</v>
      </c>
      <c r="G3" s="1" t="s">
        <v>1</v>
      </c>
      <c r="H3" s="1" t="s">
        <v>2</v>
      </c>
      <c r="I3" s="2" t="s">
        <v>3</v>
      </c>
      <c r="J3" s="2" t="s">
        <v>4</v>
      </c>
      <c r="K3" s="5" t="s">
        <v>5</v>
      </c>
      <c r="L3" s="6" t="s">
        <v>78</v>
      </c>
      <c r="M3" s="6" t="s">
        <v>7</v>
      </c>
      <c r="N3" s="6" t="s">
        <v>6</v>
      </c>
      <c r="O3" s="6" t="s">
        <v>77</v>
      </c>
      <c r="P3" s="6" t="s">
        <v>76</v>
      </c>
      <c r="Q3" s="16" t="s">
        <v>8</v>
      </c>
      <c r="R3" s="5" t="s">
        <v>9</v>
      </c>
      <c r="S3" s="18" t="s">
        <v>10</v>
      </c>
      <c r="T3" s="1" t="s">
        <v>404</v>
      </c>
    </row>
    <row r="4" spans="1:20">
      <c r="A4" s="45">
        <v>1</v>
      </c>
      <c r="B4" s="45" t="s">
        <v>91</v>
      </c>
      <c r="C4" s="2"/>
      <c r="D4" s="2"/>
      <c r="E4" s="1" t="s">
        <v>73</v>
      </c>
      <c r="F4" s="1" t="s">
        <v>69</v>
      </c>
      <c r="G4" s="1" t="s">
        <v>65</v>
      </c>
      <c r="I4" s="3" t="s">
        <v>11</v>
      </c>
      <c r="J4" s="2" t="s">
        <v>12</v>
      </c>
      <c r="K4" s="1" t="s">
        <v>13</v>
      </c>
      <c r="L4" s="7">
        <v>0</v>
      </c>
      <c r="M4" s="7">
        <v>0</v>
      </c>
      <c r="N4" s="7">
        <v>0</v>
      </c>
      <c r="O4" s="7">
        <v>0</v>
      </c>
      <c r="P4" s="7">
        <v>0</v>
      </c>
      <c r="Q4" s="15">
        <v>410</v>
      </c>
      <c r="S4" s="17">
        <v>45825.516423611109</v>
      </c>
      <c r="T4" s="21">
        <v>45825.516423611109</v>
      </c>
    </row>
    <row r="5" spans="1:20">
      <c r="A5" s="46">
        <v>2</v>
      </c>
      <c r="B5" s="46" t="s">
        <v>92</v>
      </c>
      <c r="C5" s="2"/>
      <c r="D5" s="2"/>
      <c r="E5" s="1" t="s">
        <v>73</v>
      </c>
      <c r="F5" s="1" t="s">
        <v>69</v>
      </c>
      <c r="G5" s="1" t="s">
        <v>65</v>
      </c>
      <c r="I5" s="3" t="s">
        <v>14</v>
      </c>
      <c r="J5" s="2" t="s">
        <v>12</v>
      </c>
      <c r="K5" s="1" t="s">
        <v>13</v>
      </c>
      <c r="L5" s="7">
        <v>0</v>
      </c>
      <c r="M5" s="7">
        <v>0</v>
      </c>
      <c r="N5" s="7">
        <v>0</v>
      </c>
      <c r="O5" s="7">
        <v>0</v>
      </c>
      <c r="P5" s="7">
        <v>0</v>
      </c>
      <c r="Q5" s="15">
        <v>310</v>
      </c>
      <c r="S5" s="17">
        <v>45838.652175925927</v>
      </c>
      <c r="T5" s="21">
        <v>45838.652175925927</v>
      </c>
    </row>
    <row r="6" spans="1:20">
      <c r="A6" s="45">
        <v>3</v>
      </c>
      <c r="B6" s="45" t="s">
        <v>93</v>
      </c>
      <c r="C6" s="2"/>
      <c r="D6" s="2"/>
      <c r="E6" s="1" t="s">
        <v>73</v>
      </c>
      <c r="F6" s="1" t="s">
        <v>69</v>
      </c>
      <c r="G6" s="1" t="s">
        <v>65</v>
      </c>
      <c r="I6" s="3" t="s">
        <v>15</v>
      </c>
      <c r="J6" s="2" t="s">
        <v>12</v>
      </c>
      <c r="K6" s="1" t="s">
        <v>13</v>
      </c>
      <c r="L6" s="7">
        <v>0</v>
      </c>
      <c r="M6" s="7">
        <v>0</v>
      </c>
      <c r="N6" s="7">
        <v>0</v>
      </c>
      <c r="O6" s="7">
        <v>0</v>
      </c>
      <c r="P6" s="7">
        <v>0</v>
      </c>
      <c r="Q6" s="15">
        <v>290</v>
      </c>
      <c r="S6" s="17">
        <v>45724.643842592595</v>
      </c>
      <c r="T6" s="21">
        <v>45724.643842592595</v>
      </c>
    </row>
    <row r="7" spans="1:20">
      <c r="A7" s="46">
        <v>4</v>
      </c>
      <c r="B7" s="46" t="s">
        <v>94</v>
      </c>
      <c r="C7" s="2"/>
      <c r="D7" s="2"/>
      <c r="E7" s="1" t="s">
        <v>73</v>
      </c>
      <c r="F7" s="1" t="s">
        <v>69</v>
      </c>
      <c r="G7" s="1" t="s">
        <v>65</v>
      </c>
      <c r="I7" s="3" t="s">
        <v>70</v>
      </c>
      <c r="J7" s="2" t="s">
        <v>12</v>
      </c>
      <c r="K7" s="1" t="s">
        <v>13</v>
      </c>
      <c r="L7" s="7">
        <v>0</v>
      </c>
      <c r="N7" s="7">
        <v>0</v>
      </c>
      <c r="O7" s="7">
        <v>0</v>
      </c>
      <c r="P7" s="7">
        <v>0</v>
      </c>
      <c r="Q7" s="15">
        <v>210</v>
      </c>
      <c r="S7" s="17">
        <v>45724.643923611111</v>
      </c>
      <c r="T7" s="21">
        <v>45724.643923611111</v>
      </c>
    </row>
    <row r="8" spans="1:20">
      <c r="A8" s="45">
        <v>5</v>
      </c>
      <c r="B8" s="45" t="s">
        <v>95</v>
      </c>
      <c r="C8" s="2"/>
      <c r="D8" s="2"/>
      <c r="E8" s="1" t="s">
        <v>73</v>
      </c>
      <c r="F8" s="1" t="s">
        <v>69</v>
      </c>
      <c r="G8" s="1" t="s">
        <v>65</v>
      </c>
      <c r="I8" s="3" t="s">
        <v>71</v>
      </c>
      <c r="J8" s="2" t="s">
        <v>12</v>
      </c>
      <c r="K8" s="1" t="s">
        <v>13</v>
      </c>
      <c r="L8" s="7">
        <v>0</v>
      </c>
      <c r="O8" s="7">
        <v>0</v>
      </c>
      <c r="P8" s="7">
        <v>0</v>
      </c>
      <c r="Q8" s="15">
        <v>90</v>
      </c>
      <c r="S8" s="17">
        <v>45724.64398148148</v>
      </c>
      <c r="T8" s="21">
        <v>45724.64398148148</v>
      </c>
    </row>
    <row r="9" spans="1:20">
      <c r="A9" s="46">
        <v>6</v>
      </c>
      <c r="B9" s="46" t="s">
        <v>96</v>
      </c>
      <c r="C9" s="2"/>
      <c r="D9" s="2"/>
      <c r="E9" s="1" t="s">
        <v>73</v>
      </c>
      <c r="F9" s="1" t="s">
        <v>69</v>
      </c>
      <c r="G9" s="1" t="s">
        <v>65</v>
      </c>
      <c r="I9" s="3" t="s">
        <v>67</v>
      </c>
      <c r="J9" s="2" t="s">
        <v>12</v>
      </c>
      <c r="K9" s="1" t="s">
        <v>13</v>
      </c>
      <c r="L9" s="7">
        <v>0</v>
      </c>
      <c r="O9" s="7">
        <v>0</v>
      </c>
      <c r="P9" s="7">
        <v>0</v>
      </c>
      <c r="Q9" s="15">
        <v>110</v>
      </c>
      <c r="S9" s="17">
        <v>45724.81355324074</v>
      </c>
      <c r="T9" s="21">
        <v>45724.81355324074</v>
      </c>
    </row>
    <row r="10" spans="1:20">
      <c r="A10" s="45">
        <v>7</v>
      </c>
      <c r="B10" s="45" t="s">
        <v>97</v>
      </c>
      <c r="C10" s="2"/>
      <c r="D10" s="2"/>
      <c r="E10" s="1" t="s">
        <v>73</v>
      </c>
      <c r="F10" s="1" t="s">
        <v>69</v>
      </c>
      <c r="G10" s="1" t="s">
        <v>65</v>
      </c>
      <c r="I10" s="3" t="s">
        <v>74</v>
      </c>
      <c r="J10" s="2" t="s">
        <v>12</v>
      </c>
      <c r="K10" s="1" t="s">
        <v>13</v>
      </c>
      <c r="L10" s="7">
        <v>0</v>
      </c>
      <c r="O10" s="7">
        <v>0</v>
      </c>
      <c r="P10" s="7">
        <v>0</v>
      </c>
      <c r="Q10" s="15">
        <v>0</v>
      </c>
      <c r="S10" s="17">
        <v>45723.814675925925</v>
      </c>
    </row>
    <row r="11" spans="1:20">
      <c r="A11" s="46">
        <v>8</v>
      </c>
      <c r="B11" s="46" t="s">
        <v>98</v>
      </c>
      <c r="C11" s="2"/>
      <c r="D11" s="2"/>
      <c r="E11" s="1" t="s">
        <v>73</v>
      </c>
      <c r="F11" s="1" t="s">
        <v>69</v>
      </c>
      <c r="G11" s="1" t="s">
        <v>65</v>
      </c>
      <c r="I11" s="3" t="s">
        <v>75</v>
      </c>
      <c r="J11" s="2" t="s">
        <v>12</v>
      </c>
      <c r="K11" s="1" t="s">
        <v>13</v>
      </c>
      <c r="L11" s="7">
        <v>0</v>
      </c>
      <c r="O11" s="7">
        <v>0</v>
      </c>
      <c r="Q11" s="15">
        <v>162</v>
      </c>
      <c r="S11" s="17">
        <v>45708.399907407409</v>
      </c>
    </row>
    <row r="12" spans="1:20">
      <c r="A12" s="45">
        <v>9</v>
      </c>
      <c r="B12" s="45" t="s">
        <v>99</v>
      </c>
      <c r="C12" s="2"/>
      <c r="D12" s="2"/>
      <c r="E12" s="1" t="s">
        <v>72</v>
      </c>
      <c r="F12" s="1" t="s">
        <v>64</v>
      </c>
      <c r="G12" s="1" t="s">
        <v>18</v>
      </c>
      <c r="I12" s="3" t="s">
        <v>19</v>
      </c>
      <c r="J12" s="2" t="s">
        <v>12</v>
      </c>
      <c r="K12" s="1" t="s">
        <v>13</v>
      </c>
      <c r="M12" s="7">
        <v>0</v>
      </c>
      <c r="O12" s="7">
        <v>0</v>
      </c>
      <c r="P12" s="7">
        <v>0</v>
      </c>
      <c r="Q12" s="15">
        <v>0</v>
      </c>
      <c r="S12" s="17">
        <v>45723.814675925925</v>
      </c>
    </row>
    <row r="13" spans="1:20">
      <c r="A13" s="46">
        <v>10</v>
      </c>
      <c r="B13" s="46" t="s">
        <v>100</v>
      </c>
      <c r="C13" s="2"/>
      <c r="D13" s="2"/>
      <c r="E13" s="1" t="s">
        <v>72</v>
      </c>
      <c r="F13" s="1" t="s">
        <v>64</v>
      </c>
      <c r="G13" s="1" t="s">
        <v>18</v>
      </c>
      <c r="I13" s="3" t="s">
        <v>20</v>
      </c>
      <c r="J13" s="2" t="s">
        <v>12</v>
      </c>
      <c r="K13" s="1" t="s">
        <v>13</v>
      </c>
      <c r="M13" s="7">
        <v>0</v>
      </c>
      <c r="N13" s="7">
        <v>0</v>
      </c>
      <c r="O13" s="7">
        <v>0</v>
      </c>
      <c r="P13" s="7">
        <v>0</v>
      </c>
      <c r="Q13" s="15">
        <v>10000</v>
      </c>
      <c r="S13" s="17">
        <v>45721.843981481485</v>
      </c>
    </row>
    <row r="14" spans="1:20">
      <c r="A14" s="45">
        <v>11</v>
      </c>
      <c r="B14" s="45" t="s">
        <v>101</v>
      </c>
      <c r="C14" s="2"/>
      <c r="D14" s="2"/>
      <c r="E14" s="1" t="s">
        <v>72</v>
      </c>
      <c r="F14" s="1" t="s">
        <v>64</v>
      </c>
      <c r="G14" s="1" t="s">
        <v>18</v>
      </c>
      <c r="I14" s="3" t="s">
        <v>21</v>
      </c>
      <c r="J14" s="2" t="s">
        <v>12</v>
      </c>
      <c r="K14" s="1" t="s">
        <v>13</v>
      </c>
      <c r="M14" s="7">
        <v>0</v>
      </c>
      <c r="O14" s="7">
        <v>0</v>
      </c>
      <c r="P14" s="7">
        <v>0</v>
      </c>
      <c r="Q14" s="15">
        <v>2000</v>
      </c>
      <c r="S14" s="17">
        <v>45721.843981481485</v>
      </c>
    </row>
    <row r="15" spans="1:20">
      <c r="A15" s="46">
        <v>12</v>
      </c>
      <c r="B15" s="46" t="s">
        <v>256</v>
      </c>
      <c r="C15" s="2"/>
      <c r="D15" s="2"/>
      <c r="E15" s="1" t="s">
        <v>72</v>
      </c>
      <c r="F15" s="1" t="s">
        <v>64</v>
      </c>
      <c r="G15" s="1" t="s">
        <v>18</v>
      </c>
      <c r="I15" s="3" t="s">
        <v>22</v>
      </c>
      <c r="J15" s="2" t="s">
        <v>12</v>
      </c>
      <c r="K15" s="1" t="s">
        <v>13</v>
      </c>
      <c r="L15" s="7">
        <v>0</v>
      </c>
      <c r="O15" s="7">
        <v>0</v>
      </c>
      <c r="P15" s="7">
        <v>0</v>
      </c>
      <c r="Q15" s="15">
        <v>81890</v>
      </c>
      <c r="S15" s="17">
        <v>45838.652175925927</v>
      </c>
      <c r="T15" s="21">
        <v>45838.652175925927</v>
      </c>
    </row>
    <row r="16" spans="1:20">
      <c r="A16" s="45">
        <v>13</v>
      </c>
      <c r="B16" s="45" t="s">
        <v>257</v>
      </c>
      <c r="C16" s="2"/>
      <c r="D16" s="2"/>
      <c r="E16" s="1" t="s">
        <v>72</v>
      </c>
      <c r="F16" s="1" t="s">
        <v>64</v>
      </c>
      <c r="G16" s="1" t="s">
        <v>18</v>
      </c>
      <c r="I16" s="3" t="s">
        <v>23</v>
      </c>
      <c r="J16" s="2" t="s">
        <v>12</v>
      </c>
      <c r="K16" s="1" t="s">
        <v>13</v>
      </c>
      <c r="L16" s="7">
        <v>0</v>
      </c>
      <c r="O16" s="7">
        <v>0</v>
      </c>
      <c r="P16" s="7">
        <v>0</v>
      </c>
      <c r="Q16" s="15">
        <v>70000</v>
      </c>
      <c r="S16" s="17">
        <v>45838.652175925927</v>
      </c>
      <c r="T16" s="21">
        <v>45838.652175925927</v>
      </c>
    </row>
    <row r="17" spans="1:20">
      <c r="A17" s="46">
        <v>14</v>
      </c>
      <c r="B17" s="46" t="s">
        <v>102</v>
      </c>
      <c r="C17" s="2"/>
      <c r="D17" s="2"/>
      <c r="E17" s="1" t="s">
        <v>72</v>
      </c>
      <c r="F17" s="1" t="s">
        <v>64</v>
      </c>
      <c r="G17" s="1" t="s">
        <v>66</v>
      </c>
      <c r="I17" s="3" t="s">
        <v>23</v>
      </c>
      <c r="J17" s="2" t="s">
        <v>12</v>
      </c>
      <c r="K17" s="1" t="s">
        <v>24</v>
      </c>
      <c r="P17" s="7">
        <v>0</v>
      </c>
      <c r="Q17" s="15">
        <v>7670</v>
      </c>
      <c r="S17" s="17">
        <v>45724.64671296296</v>
      </c>
      <c r="T17" s="21">
        <v>45724.64671296296</v>
      </c>
    </row>
    <row r="18" spans="1:20">
      <c r="A18" s="45">
        <v>15</v>
      </c>
      <c r="B18" s="45" t="s">
        <v>258</v>
      </c>
      <c r="C18" s="2"/>
      <c r="D18" s="2"/>
      <c r="E18" s="1" t="s">
        <v>72</v>
      </c>
      <c r="F18" s="1" t="s">
        <v>64</v>
      </c>
      <c r="G18" s="1" t="s">
        <v>18</v>
      </c>
      <c r="I18" s="3" t="s">
        <v>259</v>
      </c>
      <c r="J18" s="2" t="s">
        <v>12</v>
      </c>
      <c r="K18" s="1" t="s">
        <v>13</v>
      </c>
      <c r="Q18" s="15">
        <v>2592</v>
      </c>
      <c r="S18" s="17">
        <v>45708.399907407409</v>
      </c>
    </row>
    <row r="19" spans="1:20">
      <c r="A19" s="46">
        <v>16</v>
      </c>
      <c r="B19" s="46" t="s">
        <v>260</v>
      </c>
      <c r="C19" s="2"/>
      <c r="D19" s="2"/>
      <c r="E19" s="1" t="s">
        <v>261</v>
      </c>
      <c r="F19" s="1" t="s">
        <v>64</v>
      </c>
      <c r="G19" s="1" t="s">
        <v>18</v>
      </c>
      <c r="I19" s="3" t="s">
        <v>262</v>
      </c>
      <c r="J19" s="2" t="s">
        <v>263</v>
      </c>
      <c r="K19" s="1" t="s">
        <v>13</v>
      </c>
      <c r="Q19" s="15">
        <v>0</v>
      </c>
      <c r="S19" s="17">
        <v>45708.399907407409</v>
      </c>
    </row>
    <row r="20" spans="1:20">
      <c r="A20" s="45">
        <v>17</v>
      </c>
      <c r="B20" s="45" t="s">
        <v>264</v>
      </c>
      <c r="C20" s="2"/>
      <c r="D20" s="2"/>
      <c r="E20" s="1" t="s">
        <v>261</v>
      </c>
      <c r="F20" s="1" t="s">
        <v>64</v>
      </c>
      <c r="G20" s="1" t="s">
        <v>18</v>
      </c>
      <c r="I20" s="3" t="s">
        <v>25</v>
      </c>
      <c r="J20" s="2" t="s">
        <v>263</v>
      </c>
      <c r="K20" s="4" t="s">
        <v>13</v>
      </c>
      <c r="L20" s="14"/>
      <c r="N20" s="7">
        <v>0</v>
      </c>
      <c r="Q20" s="15">
        <v>23.52</v>
      </c>
      <c r="S20" s="17">
        <v>45708.399907407409</v>
      </c>
    </row>
    <row r="21" spans="1:20">
      <c r="A21" s="46">
        <v>18</v>
      </c>
      <c r="B21" s="46" t="s">
        <v>265</v>
      </c>
      <c r="C21" s="2"/>
      <c r="D21" s="2"/>
      <c r="E21" s="1" t="s">
        <v>73</v>
      </c>
      <c r="F21" s="1" t="s">
        <v>69</v>
      </c>
      <c r="G21" s="1" t="s">
        <v>65</v>
      </c>
      <c r="I21" s="3" t="s">
        <v>16</v>
      </c>
      <c r="J21" s="2" t="s">
        <v>12</v>
      </c>
      <c r="K21" s="1" t="s">
        <v>13</v>
      </c>
      <c r="Q21" s="15">
        <v>0</v>
      </c>
      <c r="S21" s="17">
        <v>45708.399907407409</v>
      </c>
    </row>
    <row r="22" spans="1:20">
      <c r="A22" s="45">
        <v>19</v>
      </c>
      <c r="B22" s="45" t="s">
        <v>266</v>
      </c>
      <c r="C22" s="2"/>
      <c r="D22" s="2"/>
      <c r="E22" s="1" t="s">
        <v>73</v>
      </c>
      <c r="F22" s="1" t="s">
        <v>69</v>
      </c>
      <c r="G22" s="1" t="s">
        <v>65</v>
      </c>
      <c r="I22" s="3" t="s">
        <v>267</v>
      </c>
      <c r="J22" s="2" t="s">
        <v>12</v>
      </c>
      <c r="K22" s="1" t="s">
        <v>13</v>
      </c>
      <c r="Q22" s="15">
        <v>130</v>
      </c>
      <c r="S22" s="17">
        <v>45708.399907407409</v>
      </c>
    </row>
    <row r="23" spans="1:20">
      <c r="A23" s="46">
        <v>20</v>
      </c>
      <c r="B23" s="46" t="s">
        <v>268</v>
      </c>
      <c r="C23" s="2"/>
      <c r="D23" s="2"/>
      <c r="E23" s="1" t="s">
        <v>269</v>
      </c>
      <c r="F23" s="1" t="s">
        <v>64</v>
      </c>
      <c r="G23" s="1" t="s">
        <v>18</v>
      </c>
      <c r="I23" s="3" t="s">
        <v>28</v>
      </c>
      <c r="J23" s="2" t="s">
        <v>29</v>
      </c>
      <c r="K23" s="1" t="s">
        <v>13</v>
      </c>
      <c r="O23" s="7">
        <v>0</v>
      </c>
      <c r="Q23" s="15">
        <v>150</v>
      </c>
      <c r="S23" s="17">
        <v>45723.812731481485</v>
      </c>
    </row>
    <row r="24" spans="1:20">
      <c r="A24" s="45">
        <v>21</v>
      </c>
      <c r="B24" s="45" t="s">
        <v>270</v>
      </c>
      <c r="C24" s="2"/>
      <c r="D24" s="2"/>
      <c r="E24" s="1" t="s">
        <v>271</v>
      </c>
      <c r="F24" s="1" t="s">
        <v>64</v>
      </c>
      <c r="G24" s="1" t="s">
        <v>18</v>
      </c>
      <c r="I24" s="3" t="s">
        <v>30</v>
      </c>
      <c r="J24" s="2" t="s">
        <v>263</v>
      </c>
      <c r="K24" s="1" t="s">
        <v>13</v>
      </c>
      <c r="Q24" s="15">
        <v>36.090000000000003</v>
      </c>
      <c r="S24" s="17">
        <v>45708.399907407409</v>
      </c>
    </row>
    <row r="25" spans="1:20">
      <c r="A25" s="46">
        <v>22</v>
      </c>
      <c r="B25" s="46" t="s">
        <v>272</v>
      </c>
      <c r="C25" s="2"/>
      <c r="D25" s="2"/>
      <c r="E25" s="1" t="s">
        <v>273</v>
      </c>
      <c r="F25" s="1" t="s">
        <v>274</v>
      </c>
      <c r="G25" s="1" t="s">
        <v>18</v>
      </c>
      <c r="I25" s="3" t="s">
        <v>31</v>
      </c>
      <c r="J25" s="2" t="s">
        <v>263</v>
      </c>
      <c r="K25" s="1" t="s">
        <v>13</v>
      </c>
      <c r="O25" s="7">
        <v>0</v>
      </c>
      <c r="Q25" s="15">
        <v>20.777999999999999</v>
      </c>
      <c r="S25" s="17">
        <v>45723.812731481485</v>
      </c>
    </row>
    <row r="26" spans="1:20">
      <c r="A26" s="45">
        <v>23</v>
      </c>
      <c r="B26" s="45" t="s">
        <v>275</v>
      </c>
      <c r="C26" s="2"/>
      <c r="D26" s="2"/>
      <c r="E26" s="1" t="s">
        <v>73</v>
      </c>
      <c r="F26" s="1" t="s">
        <v>69</v>
      </c>
      <c r="G26" s="1" t="s">
        <v>65</v>
      </c>
      <c r="H26" s="1" t="s">
        <v>276</v>
      </c>
      <c r="I26" s="3" t="s">
        <v>17</v>
      </c>
      <c r="J26" s="2" t="s">
        <v>12</v>
      </c>
      <c r="K26" s="4" t="s">
        <v>13</v>
      </c>
      <c r="L26" s="14"/>
      <c r="N26" s="7">
        <v>0</v>
      </c>
      <c r="Q26" s="15">
        <v>0</v>
      </c>
      <c r="S26" s="17">
        <v>45708.399907407409</v>
      </c>
    </row>
    <row r="27" spans="1:20">
      <c r="A27" s="46">
        <v>24</v>
      </c>
      <c r="B27" s="46" t="s">
        <v>277</v>
      </c>
      <c r="C27" s="2"/>
      <c r="D27" s="2"/>
      <c r="E27" s="1" t="s">
        <v>73</v>
      </c>
      <c r="F27" s="1" t="s">
        <v>69</v>
      </c>
      <c r="G27" s="1" t="s">
        <v>65</v>
      </c>
      <c r="I27" s="3" t="s">
        <v>278</v>
      </c>
      <c r="J27" s="2" t="s">
        <v>12</v>
      </c>
      <c r="K27" s="4" t="s">
        <v>13</v>
      </c>
      <c r="L27" s="14"/>
      <c r="N27" s="7">
        <v>0</v>
      </c>
      <c r="Q27" s="15">
        <v>459</v>
      </c>
      <c r="S27" s="17">
        <v>45708.399907407409</v>
      </c>
    </row>
    <row r="28" spans="1:20">
      <c r="A28" s="45">
        <v>25</v>
      </c>
      <c r="B28" s="45" t="s">
        <v>279</v>
      </c>
      <c r="C28" s="2"/>
      <c r="D28" s="2"/>
      <c r="E28" s="1" t="s">
        <v>73</v>
      </c>
      <c r="F28" s="1" t="s">
        <v>69</v>
      </c>
      <c r="G28" s="1" t="s">
        <v>65</v>
      </c>
      <c r="I28" s="3" t="s">
        <v>280</v>
      </c>
      <c r="J28" s="2" t="s">
        <v>46</v>
      </c>
      <c r="K28" s="1" t="s">
        <v>13</v>
      </c>
      <c r="Q28" s="15">
        <v>6</v>
      </c>
      <c r="S28" s="17">
        <v>45708.399907407409</v>
      </c>
    </row>
    <row r="29" spans="1:20">
      <c r="A29" s="46">
        <v>26</v>
      </c>
      <c r="B29" s="46" t="s">
        <v>281</v>
      </c>
      <c r="C29" s="2"/>
      <c r="D29" s="2"/>
      <c r="E29" s="1" t="s">
        <v>282</v>
      </c>
      <c r="F29" s="1" t="s">
        <v>64</v>
      </c>
      <c r="G29" s="1" t="s">
        <v>18</v>
      </c>
      <c r="I29" s="3" t="s">
        <v>26</v>
      </c>
      <c r="J29" s="2" t="s">
        <v>12</v>
      </c>
      <c r="K29" s="1" t="s">
        <v>13</v>
      </c>
      <c r="O29" s="7">
        <v>15</v>
      </c>
      <c r="Q29" s="15">
        <v>25</v>
      </c>
      <c r="S29" s="17">
        <v>45724.836736111109</v>
      </c>
    </row>
    <row r="30" spans="1:20">
      <c r="A30" s="45">
        <v>27</v>
      </c>
      <c r="B30" s="45" t="s">
        <v>283</v>
      </c>
      <c r="C30" s="2"/>
      <c r="D30" s="2"/>
      <c r="E30" s="1" t="s">
        <v>282</v>
      </c>
      <c r="F30" s="1" t="s">
        <v>64</v>
      </c>
      <c r="G30" s="1" t="s">
        <v>18</v>
      </c>
      <c r="I30" s="3" t="s">
        <v>27</v>
      </c>
      <c r="J30" s="2" t="s">
        <v>12</v>
      </c>
      <c r="K30" s="1" t="s">
        <v>13</v>
      </c>
      <c r="Q30" s="15">
        <v>10</v>
      </c>
      <c r="S30" s="17">
        <v>45708.399907407409</v>
      </c>
    </row>
    <row r="31" spans="1:20">
      <c r="A31" s="46">
        <v>28</v>
      </c>
      <c r="B31" s="46" t="s">
        <v>284</v>
      </c>
      <c r="C31" s="2"/>
      <c r="D31" s="2"/>
      <c r="E31" s="1" t="s">
        <v>285</v>
      </c>
      <c r="F31" s="1" t="s">
        <v>64</v>
      </c>
      <c r="G31" s="1" t="s">
        <v>18</v>
      </c>
      <c r="I31" s="3" t="s">
        <v>33</v>
      </c>
      <c r="J31" s="2" t="s">
        <v>263</v>
      </c>
      <c r="K31" s="1" t="s">
        <v>13</v>
      </c>
      <c r="N31" s="7">
        <v>0</v>
      </c>
      <c r="Q31" s="15">
        <v>77.03</v>
      </c>
      <c r="S31" s="17">
        <v>45724.646192129629</v>
      </c>
      <c r="T31" s="21">
        <v>45724.646192129629</v>
      </c>
    </row>
    <row r="32" spans="1:20">
      <c r="A32" s="45">
        <v>29</v>
      </c>
      <c r="B32" s="45" t="s">
        <v>286</v>
      </c>
      <c r="C32" s="2"/>
      <c r="D32" s="2"/>
      <c r="E32" s="1" t="s">
        <v>287</v>
      </c>
      <c r="F32" s="1" t="s">
        <v>274</v>
      </c>
      <c r="G32" s="1" t="s">
        <v>18</v>
      </c>
      <c r="H32" s="1" t="s">
        <v>383</v>
      </c>
      <c r="I32" s="3" t="s">
        <v>34</v>
      </c>
      <c r="J32" s="2" t="s">
        <v>263</v>
      </c>
      <c r="K32" s="1" t="s">
        <v>13</v>
      </c>
      <c r="M32" s="7">
        <v>0</v>
      </c>
      <c r="O32" s="7">
        <v>1060</v>
      </c>
      <c r="Q32" s="15">
        <v>995.67</v>
      </c>
      <c r="S32" s="17">
        <v>45724.645902777775</v>
      </c>
      <c r="T32" s="21">
        <v>45724.645902777775</v>
      </c>
    </row>
    <row r="33" spans="1:20">
      <c r="A33" s="46">
        <v>30</v>
      </c>
      <c r="B33" s="46" t="s">
        <v>288</v>
      </c>
      <c r="C33" s="2"/>
      <c r="D33" s="2"/>
      <c r="E33" s="1" t="s">
        <v>289</v>
      </c>
      <c r="F33" s="1" t="s">
        <v>274</v>
      </c>
      <c r="G33" s="1" t="s">
        <v>18</v>
      </c>
      <c r="I33" s="3" t="s">
        <v>35</v>
      </c>
      <c r="J33" s="2" t="s">
        <v>263</v>
      </c>
      <c r="K33" s="4" t="s">
        <v>13</v>
      </c>
      <c r="L33" s="14">
        <v>0</v>
      </c>
      <c r="O33" s="7">
        <v>0</v>
      </c>
      <c r="P33" s="7">
        <v>0</v>
      </c>
      <c r="Q33" s="15">
        <v>1000</v>
      </c>
      <c r="S33" s="17">
        <v>45838.652175925927</v>
      </c>
      <c r="T33" s="21">
        <v>45838.652175925927</v>
      </c>
    </row>
    <row r="34" spans="1:20">
      <c r="A34" s="45">
        <v>31</v>
      </c>
      <c r="B34" s="45" t="s">
        <v>290</v>
      </c>
      <c r="C34" s="2"/>
      <c r="D34" s="2"/>
      <c r="E34" s="1" t="s">
        <v>291</v>
      </c>
      <c r="F34" s="1" t="s">
        <v>274</v>
      </c>
      <c r="G34" s="1" t="s">
        <v>18</v>
      </c>
      <c r="H34" s="1" t="s">
        <v>382</v>
      </c>
      <c r="I34" s="3" t="s">
        <v>36</v>
      </c>
      <c r="J34" s="2" t="s">
        <v>263</v>
      </c>
      <c r="K34" s="4" t="s">
        <v>13</v>
      </c>
      <c r="L34" s="14"/>
      <c r="O34" s="7">
        <v>0</v>
      </c>
      <c r="P34" s="7">
        <v>0</v>
      </c>
      <c r="Q34" s="15">
        <v>-9.9999999999766942E-4</v>
      </c>
      <c r="S34" s="17">
        <v>45723.814675925925</v>
      </c>
    </row>
    <row r="35" spans="1:20">
      <c r="A35" s="46">
        <v>32</v>
      </c>
      <c r="B35" s="46" t="s">
        <v>292</v>
      </c>
      <c r="C35" s="2"/>
      <c r="D35" s="2"/>
      <c r="E35" s="1" t="s">
        <v>73</v>
      </c>
      <c r="F35" s="1" t="s">
        <v>69</v>
      </c>
      <c r="G35" s="1" t="s">
        <v>65</v>
      </c>
      <c r="I35" s="3" t="s">
        <v>32</v>
      </c>
      <c r="J35" s="2" t="s">
        <v>12</v>
      </c>
      <c r="K35" s="4" t="s">
        <v>13</v>
      </c>
      <c r="L35" s="14"/>
      <c r="O35" s="7">
        <v>0</v>
      </c>
      <c r="P35" s="7">
        <v>0</v>
      </c>
      <c r="Q35" s="15">
        <v>0</v>
      </c>
      <c r="S35" s="17">
        <v>45723.814675925925</v>
      </c>
    </row>
    <row r="36" spans="1:20">
      <c r="A36" s="45">
        <v>33</v>
      </c>
      <c r="B36" s="45" t="s">
        <v>293</v>
      </c>
      <c r="C36" s="2"/>
      <c r="D36" s="2"/>
      <c r="E36" s="1" t="s">
        <v>282</v>
      </c>
      <c r="F36" s="1" t="s">
        <v>294</v>
      </c>
      <c r="G36" s="1" t="s">
        <v>18</v>
      </c>
      <c r="I36" s="3" t="s">
        <v>37</v>
      </c>
      <c r="J36" s="2" t="s">
        <v>12</v>
      </c>
      <c r="K36" s="1" t="s">
        <v>13</v>
      </c>
      <c r="O36" s="7">
        <v>77</v>
      </c>
      <c r="Q36" s="15">
        <v>550</v>
      </c>
      <c r="S36" s="17">
        <v>45724.836736111109</v>
      </c>
      <c r="T36" s="21">
        <v>45724.81355324074</v>
      </c>
    </row>
    <row r="37" spans="1:20">
      <c r="A37" s="46">
        <v>34</v>
      </c>
      <c r="B37" s="46" t="s">
        <v>295</v>
      </c>
      <c r="C37" s="2"/>
      <c r="D37" s="2"/>
      <c r="E37" s="1" t="s">
        <v>282</v>
      </c>
      <c r="F37" s="1" t="s">
        <v>294</v>
      </c>
      <c r="G37" s="1" t="s">
        <v>18</v>
      </c>
      <c r="I37" s="3" t="s">
        <v>38</v>
      </c>
      <c r="J37" s="2" t="s">
        <v>12</v>
      </c>
      <c r="K37" s="1" t="s">
        <v>13</v>
      </c>
      <c r="O37" s="7">
        <v>61</v>
      </c>
      <c r="Q37" s="15">
        <v>2719</v>
      </c>
      <c r="S37" s="17">
        <v>45724.836736111109</v>
      </c>
      <c r="T37" s="21">
        <v>45724.81355324074</v>
      </c>
    </row>
    <row r="38" spans="1:20">
      <c r="A38" s="45">
        <v>35</v>
      </c>
      <c r="B38" s="45" t="s">
        <v>296</v>
      </c>
      <c r="C38" s="2"/>
      <c r="D38" s="2"/>
      <c r="E38" s="1" t="s">
        <v>269</v>
      </c>
      <c r="F38" s="1" t="s">
        <v>274</v>
      </c>
      <c r="G38" s="1" t="s">
        <v>18</v>
      </c>
      <c r="I38" s="3" t="s">
        <v>40</v>
      </c>
      <c r="J38" s="2" t="s">
        <v>263</v>
      </c>
      <c r="K38" s="1" t="s">
        <v>13</v>
      </c>
      <c r="Q38" s="15">
        <v>86.11</v>
      </c>
      <c r="S38" s="17">
        <v>45708.399907407409</v>
      </c>
    </row>
    <row r="39" spans="1:20">
      <c r="A39" s="46">
        <v>36</v>
      </c>
      <c r="B39" s="46" t="s">
        <v>297</v>
      </c>
      <c r="C39" s="2"/>
      <c r="D39" s="2"/>
      <c r="E39" s="1" t="s">
        <v>289</v>
      </c>
      <c r="F39" s="1" t="s">
        <v>274</v>
      </c>
      <c r="G39" s="1" t="s">
        <v>18</v>
      </c>
      <c r="I39" s="3" t="s">
        <v>41</v>
      </c>
      <c r="J39" s="2" t="s">
        <v>263</v>
      </c>
      <c r="K39" s="1" t="s">
        <v>13</v>
      </c>
      <c r="Q39" s="15">
        <v>37.643999999999998</v>
      </c>
      <c r="S39" s="17">
        <v>45708.399907407409</v>
      </c>
    </row>
    <row r="40" spans="1:20">
      <c r="A40" s="45">
        <v>37</v>
      </c>
      <c r="B40" s="45" t="s">
        <v>298</v>
      </c>
      <c r="C40" s="2"/>
      <c r="D40" s="2"/>
      <c r="E40" s="1" t="s">
        <v>289</v>
      </c>
      <c r="F40" s="1" t="s">
        <v>274</v>
      </c>
      <c r="G40" s="1" t="s">
        <v>18</v>
      </c>
      <c r="I40" s="3" t="s">
        <v>42</v>
      </c>
      <c r="J40" s="2" t="s">
        <v>263</v>
      </c>
      <c r="K40" s="4" t="s">
        <v>13</v>
      </c>
      <c r="L40" s="14">
        <v>0</v>
      </c>
      <c r="N40" s="7">
        <v>0</v>
      </c>
      <c r="Q40" s="15">
        <v>32.658000000000001</v>
      </c>
      <c r="S40" s="17">
        <v>45721.814328703702</v>
      </c>
    </row>
    <row r="41" spans="1:20">
      <c r="A41" s="46">
        <v>38</v>
      </c>
      <c r="B41" s="46" t="s">
        <v>299</v>
      </c>
      <c r="C41" s="2" t="s">
        <v>380</v>
      </c>
      <c r="D41" s="2"/>
      <c r="E41" s="1" t="s">
        <v>289</v>
      </c>
      <c r="F41" s="1" t="s">
        <v>274</v>
      </c>
      <c r="G41" s="1" t="s">
        <v>18</v>
      </c>
      <c r="H41" s="1" t="s">
        <v>381</v>
      </c>
      <c r="I41" s="3" t="s">
        <v>43</v>
      </c>
      <c r="J41" s="2" t="s">
        <v>263</v>
      </c>
      <c r="K41" s="1" t="s">
        <v>13</v>
      </c>
      <c r="L41" s="7">
        <v>0</v>
      </c>
      <c r="O41" s="7">
        <v>0</v>
      </c>
      <c r="P41" s="7">
        <v>0</v>
      </c>
      <c r="Q41" s="15">
        <v>1000.004</v>
      </c>
      <c r="S41" s="17">
        <v>45838.652175925927</v>
      </c>
      <c r="T41" s="21">
        <v>45838.652175925927</v>
      </c>
    </row>
    <row r="42" spans="1:20">
      <c r="A42" s="45">
        <v>39</v>
      </c>
      <c r="B42" s="45" t="s">
        <v>300</v>
      </c>
      <c r="C42" s="2"/>
      <c r="D42" s="2"/>
      <c r="E42" s="1" t="s">
        <v>301</v>
      </c>
      <c r="F42" s="1" t="s">
        <v>64</v>
      </c>
      <c r="G42" s="1" t="s">
        <v>18</v>
      </c>
      <c r="I42" s="3" t="s">
        <v>44</v>
      </c>
      <c r="J42" s="2" t="s">
        <v>263</v>
      </c>
      <c r="K42" s="1" t="s">
        <v>13</v>
      </c>
      <c r="Q42" s="15">
        <v>94</v>
      </c>
      <c r="S42" s="17">
        <v>45708.399907407409</v>
      </c>
    </row>
    <row r="43" spans="1:20">
      <c r="A43" s="46">
        <v>40</v>
      </c>
      <c r="B43" s="46" t="s">
        <v>302</v>
      </c>
      <c r="C43" s="2"/>
      <c r="D43" s="2"/>
      <c r="E43" s="1" t="s">
        <v>282</v>
      </c>
      <c r="F43" s="1" t="s">
        <v>303</v>
      </c>
      <c r="G43" s="1" t="s">
        <v>65</v>
      </c>
      <c r="I43" s="3" t="s">
        <v>39</v>
      </c>
      <c r="J43" s="2" t="s">
        <v>12</v>
      </c>
      <c r="K43" s="1" t="s">
        <v>13</v>
      </c>
      <c r="Q43" s="15">
        <v>10</v>
      </c>
      <c r="S43" s="17">
        <v>45708.399907407409</v>
      </c>
    </row>
    <row r="44" spans="1:20">
      <c r="A44" s="45">
        <v>41</v>
      </c>
      <c r="B44" s="45" t="s">
        <v>304</v>
      </c>
      <c r="C44" s="2"/>
      <c r="D44" s="2"/>
      <c r="E44" s="1" t="s">
        <v>282</v>
      </c>
      <c r="F44" s="1" t="s">
        <v>303</v>
      </c>
      <c r="G44" s="1" t="s">
        <v>65</v>
      </c>
      <c r="I44" s="3" t="s">
        <v>68</v>
      </c>
      <c r="J44" s="2" t="s">
        <v>12</v>
      </c>
      <c r="K44" s="1" t="s">
        <v>13</v>
      </c>
      <c r="Q44" s="15">
        <v>0</v>
      </c>
      <c r="S44" s="17">
        <v>45708.399907407409</v>
      </c>
    </row>
    <row r="45" spans="1:20">
      <c r="A45" s="46">
        <v>42</v>
      </c>
      <c r="B45" s="46" t="s">
        <v>305</v>
      </c>
      <c r="C45" s="2"/>
      <c r="D45" s="2"/>
      <c r="E45" s="1" t="s">
        <v>291</v>
      </c>
      <c r="F45" s="1" t="s">
        <v>274</v>
      </c>
      <c r="G45" s="1" t="s">
        <v>18</v>
      </c>
      <c r="I45" s="3" t="s">
        <v>47</v>
      </c>
      <c r="J45" s="2" t="s">
        <v>263</v>
      </c>
      <c r="K45" s="1" t="s">
        <v>13</v>
      </c>
      <c r="O45" s="7">
        <v>0</v>
      </c>
      <c r="Q45" s="15">
        <v>-44.595500000000001</v>
      </c>
      <c r="S45" s="17">
        <v>45724.64398148148</v>
      </c>
      <c r="T45" s="21">
        <v>45724.64398148148</v>
      </c>
    </row>
    <row r="46" spans="1:20">
      <c r="A46" s="45">
        <v>43</v>
      </c>
      <c r="B46" s="45" t="s">
        <v>306</v>
      </c>
      <c r="C46" s="2"/>
      <c r="D46" s="2"/>
      <c r="E46" s="1" t="s">
        <v>289</v>
      </c>
      <c r="F46" s="1" t="s">
        <v>274</v>
      </c>
      <c r="G46" s="1" t="s">
        <v>18</v>
      </c>
      <c r="I46" s="3" t="s">
        <v>48</v>
      </c>
      <c r="J46" s="2" t="s">
        <v>263</v>
      </c>
      <c r="K46" s="1" t="s">
        <v>13</v>
      </c>
      <c r="L46" s="7">
        <v>0</v>
      </c>
      <c r="O46" s="7">
        <v>0</v>
      </c>
      <c r="P46" s="7">
        <v>0</v>
      </c>
      <c r="Q46" s="15">
        <v>0</v>
      </c>
      <c r="S46" s="17">
        <v>45723.814675925925</v>
      </c>
    </row>
    <row r="47" spans="1:20">
      <c r="A47" s="46">
        <v>44</v>
      </c>
      <c r="B47" s="46" t="s">
        <v>307</v>
      </c>
      <c r="C47" s="2"/>
      <c r="D47" s="2"/>
      <c r="E47" s="1" t="s">
        <v>291</v>
      </c>
      <c r="F47" s="1" t="s">
        <v>274</v>
      </c>
      <c r="G47" s="1" t="s">
        <v>18</v>
      </c>
      <c r="H47" s="1" t="s">
        <v>384</v>
      </c>
      <c r="I47" s="3" t="s">
        <v>49</v>
      </c>
      <c r="J47" s="2" t="s">
        <v>263</v>
      </c>
      <c r="K47" s="4" t="s">
        <v>13</v>
      </c>
      <c r="L47" s="14">
        <v>0</v>
      </c>
      <c r="M47" s="7">
        <v>0</v>
      </c>
      <c r="O47" s="7">
        <v>0</v>
      </c>
      <c r="Q47" s="15">
        <v>-47.242000000000004</v>
      </c>
      <c r="S47" s="17">
        <v>45838.652175925927</v>
      </c>
      <c r="T47" s="21">
        <v>45838.652175925927</v>
      </c>
    </row>
    <row r="48" spans="1:20">
      <c r="A48" s="45">
        <v>45</v>
      </c>
      <c r="B48" s="45" t="s">
        <v>308</v>
      </c>
      <c r="C48" s="2"/>
      <c r="D48" s="2"/>
      <c r="E48" s="1" t="s">
        <v>73</v>
      </c>
      <c r="F48" s="1" t="s">
        <v>69</v>
      </c>
      <c r="G48" s="1" t="s">
        <v>65</v>
      </c>
      <c r="I48" s="3" t="s">
        <v>45</v>
      </c>
      <c r="J48" s="2" t="s">
        <v>46</v>
      </c>
      <c r="K48" s="1" t="s">
        <v>13</v>
      </c>
      <c r="Q48" s="15">
        <v>0</v>
      </c>
      <c r="S48" s="17">
        <v>45708.399907407409</v>
      </c>
    </row>
    <row r="49" spans="1:20">
      <c r="A49" s="46">
        <v>46</v>
      </c>
      <c r="B49" s="46" t="s">
        <v>309</v>
      </c>
      <c r="C49" s="2"/>
      <c r="D49" s="2"/>
      <c r="E49" s="1" t="s">
        <v>73</v>
      </c>
      <c r="F49" s="1" t="s">
        <v>69</v>
      </c>
      <c r="G49" s="1" t="s">
        <v>65</v>
      </c>
      <c r="I49" s="3" t="s">
        <v>50</v>
      </c>
      <c r="J49" s="2" t="s">
        <v>51</v>
      </c>
      <c r="K49" s="4" t="s">
        <v>13</v>
      </c>
      <c r="L49" s="14"/>
      <c r="Q49" s="15">
        <v>16</v>
      </c>
      <c r="S49" s="17">
        <v>45708.399907407409</v>
      </c>
    </row>
    <row r="50" spans="1:20">
      <c r="A50" s="45">
        <v>47</v>
      </c>
      <c r="B50" s="45" t="s">
        <v>310</v>
      </c>
      <c r="C50" s="2"/>
      <c r="D50" s="2"/>
      <c r="E50" s="1" t="s">
        <v>282</v>
      </c>
      <c r="F50" s="1" t="s">
        <v>64</v>
      </c>
      <c r="G50" s="1" t="s">
        <v>18</v>
      </c>
      <c r="I50" s="3" t="s">
        <v>52</v>
      </c>
      <c r="J50" s="2" t="s">
        <v>12</v>
      </c>
      <c r="K50" s="4" t="s">
        <v>13</v>
      </c>
      <c r="L50" s="14"/>
      <c r="Q50" s="15">
        <v>133</v>
      </c>
      <c r="S50" s="17">
        <v>45708.399907407409</v>
      </c>
    </row>
    <row r="51" spans="1:20">
      <c r="A51" s="46">
        <v>48</v>
      </c>
      <c r="B51" s="46" t="s">
        <v>311</v>
      </c>
      <c r="C51" s="2"/>
      <c r="D51" s="2"/>
      <c r="E51" s="1" t="s">
        <v>291</v>
      </c>
      <c r="F51" s="1" t="s">
        <v>274</v>
      </c>
      <c r="G51" s="1" t="s">
        <v>18</v>
      </c>
      <c r="I51" s="3" t="s">
        <v>54</v>
      </c>
      <c r="J51" s="2" t="s">
        <v>263</v>
      </c>
      <c r="K51" s="1" t="s">
        <v>13</v>
      </c>
      <c r="M51" s="7">
        <v>0</v>
      </c>
      <c r="Q51" s="15">
        <v>5.8800000000000008</v>
      </c>
      <c r="S51" s="17">
        <v>45721.815138888887</v>
      </c>
    </row>
    <row r="52" spans="1:20">
      <c r="A52" s="45">
        <v>49</v>
      </c>
      <c r="B52" s="45" t="s">
        <v>312</v>
      </c>
      <c r="C52" s="2"/>
      <c r="D52" s="2"/>
      <c r="E52" s="1" t="s">
        <v>269</v>
      </c>
      <c r="F52" s="1" t="s">
        <v>274</v>
      </c>
      <c r="G52" s="1" t="s">
        <v>18</v>
      </c>
      <c r="I52" s="3" t="s">
        <v>55</v>
      </c>
      <c r="J52" s="2" t="s">
        <v>29</v>
      </c>
      <c r="K52" s="1" t="s">
        <v>13</v>
      </c>
      <c r="Q52" s="15">
        <v>10</v>
      </c>
      <c r="S52" s="17">
        <v>45708.399907407409</v>
      </c>
    </row>
    <row r="53" spans="1:20">
      <c r="A53" s="46">
        <v>50</v>
      </c>
      <c r="B53" s="46" t="s">
        <v>313</v>
      </c>
      <c r="C53" s="2"/>
      <c r="D53" s="2"/>
      <c r="E53" s="1" t="s">
        <v>282</v>
      </c>
      <c r="F53" s="1" t="s">
        <v>64</v>
      </c>
      <c r="G53" s="1" t="s">
        <v>18</v>
      </c>
      <c r="I53" s="3" t="s">
        <v>53</v>
      </c>
      <c r="J53" s="2" t="s">
        <v>12</v>
      </c>
      <c r="K53" s="1" t="s">
        <v>13</v>
      </c>
      <c r="Q53" s="15">
        <v>125</v>
      </c>
      <c r="S53" s="17">
        <v>45708.399907407409</v>
      </c>
    </row>
    <row r="54" spans="1:20">
      <c r="A54" s="45">
        <v>51</v>
      </c>
      <c r="B54" s="45" t="s">
        <v>314</v>
      </c>
      <c r="C54" s="2"/>
      <c r="D54" s="2"/>
      <c r="E54" s="1" t="s">
        <v>282</v>
      </c>
      <c r="F54" s="1" t="s">
        <v>69</v>
      </c>
      <c r="G54" s="1" t="s">
        <v>65</v>
      </c>
      <c r="I54" s="3" t="s">
        <v>56</v>
      </c>
      <c r="J54" s="2" t="s">
        <v>12</v>
      </c>
      <c r="K54" s="1" t="s">
        <v>13</v>
      </c>
      <c r="Q54" s="15">
        <v>0</v>
      </c>
      <c r="S54" s="17">
        <v>45708.399907407409</v>
      </c>
    </row>
    <row r="55" spans="1:20">
      <c r="A55" s="46">
        <v>52</v>
      </c>
      <c r="B55" s="46" t="s">
        <v>315</v>
      </c>
      <c r="C55" s="2"/>
      <c r="D55" s="2"/>
      <c r="E55" s="1" t="s">
        <v>73</v>
      </c>
      <c r="F55" s="1" t="s">
        <v>69</v>
      </c>
      <c r="G55" s="1" t="s">
        <v>65</v>
      </c>
      <c r="I55" s="3" t="s">
        <v>316</v>
      </c>
      <c r="J55" s="2" t="s">
        <v>46</v>
      </c>
      <c r="K55" s="1" t="s">
        <v>13</v>
      </c>
      <c r="L55" s="7">
        <v>0</v>
      </c>
      <c r="Q55" s="15">
        <v>151</v>
      </c>
      <c r="S55" s="17">
        <v>45838.652175925927</v>
      </c>
      <c r="T55" s="21">
        <v>45838.652175925927</v>
      </c>
    </row>
    <row r="56" spans="1:20">
      <c r="A56" s="45">
        <v>53</v>
      </c>
      <c r="B56" s="45" t="s">
        <v>317</v>
      </c>
      <c r="C56" s="2" t="s">
        <v>460</v>
      </c>
      <c r="D56" s="2">
        <v>1</v>
      </c>
      <c r="E56" s="1" t="s">
        <v>301</v>
      </c>
      <c r="F56" s="1" t="s">
        <v>64</v>
      </c>
      <c r="G56" s="1" t="s">
        <v>18</v>
      </c>
      <c r="I56" s="3" t="s">
        <v>318</v>
      </c>
      <c r="J56" s="2" t="s">
        <v>263</v>
      </c>
      <c r="K56" s="1" t="s">
        <v>13</v>
      </c>
      <c r="L56" s="7">
        <v>0</v>
      </c>
      <c r="Q56" s="15">
        <v>11725</v>
      </c>
      <c r="S56" s="17">
        <v>45838.652175925927</v>
      </c>
      <c r="T56" s="21">
        <v>45838.652175925927</v>
      </c>
    </row>
    <row r="57" spans="1:20">
      <c r="A57" s="46">
        <v>54</v>
      </c>
      <c r="B57" s="46" t="s">
        <v>319</v>
      </c>
      <c r="C57" s="2"/>
      <c r="D57" s="2"/>
      <c r="E57" s="1" t="s">
        <v>73</v>
      </c>
      <c r="F57" s="1" t="s">
        <v>69</v>
      </c>
      <c r="G57" s="1" t="s">
        <v>65</v>
      </c>
      <c r="I57" s="3" t="s">
        <v>58</v>
      </c>
      <c r="J57" s="2" t="s">
        <v>12</v>
      </c>
      <c r="K57" s="1" t="s">
        <v>13</v>
      </c>
      <c r="Q57" s="15">
        <v>0</v>
      </c>
      <c r="S57" s="17">
        <v>45708.399907407409</v>
      </c>
    </row>
    <row r="58" spans="1:20">
      <c r="A58" s="45">
        <v>55</v>
      </c>
      <c r="B58" s="45" t="s">
        <v>320</v>
      </c>
      <c r="C58" s="2"/>
      <c r="D58" s="2"/>
      <c r="E58" s="1" t="s">
        <v>73</v>
      </c>
      <c r="F58" s="1" t="s">
        <v>69</v>
      </c>
      <c r="G58" s="1" t="s">
        <v>65</v>
      </c>
      <c r="I58" s="3" t="s">
        <v>59</v>
      </c>
      <c r="J58" s="2" t="s">
        <v>12</v>
      </c>
      <c r="K58" s="1" t="s">
        <v>13</v>
      </c>
      <c r="Q58" s="15">
        <v>0</v>
      </c>
      <c r="S58" s="17">
        <v>45708.399907407409</v>
      </c>
    </row>
    <row r="59" spans="1:20">
      <c r="A59" s="46">
        <v>56</v>
      </c>
      <c r="B59" s="46" t="s">
        <v>321</v>
      </c>
      <c r="E59" s="1" t="s">
        <v>73</v>
      </c>
      <c r="F59" s="1" t="s">
        <v>69</v>
      </c>
      <c r="G59" s="1" t="s">
        <v>65</v>
      </c>
      <c r="I59" s="3" t="s">
        <v>60</v>
      </c>
      <c r="J59" s="2" t="s">
        <v>12</v>
      </c>
      <c r="K59" s="1" t="s">
        <v>13</v>
      </c>
      <c r="Q59" s="15">
        <v>0</v>
      </c>
      <c r="S59" s="17">
        <v>45708.399907407409</v>
      </c>
    </row>
    <row r="60" spans="1:20">
      <c r="A60" s="45">
        <v>57</v>
      </c>
      <c r="B60" s="45" t="s">
        <v>322</v>
      </c>
      <c r="E60" s="1" t="s">
        <v>73</v>
      </c>
      <c r="F60" s="1" t="s">
        <v>69</v>
      </c>
      <c r="G60" s="1" t="s">
        <v>65</v>
      </c>
      <c r="I60" s="3" t="s">
        <v>61</v>
      </c>
      <c r="J60" s="2" t="s">
        <v>12</v>
      </c>
      <c r="K60" s="1" t="s">
        <v>13</v>
      </c>
      <c r="O60" s="7">
        <v>0</v>
      </c>
      <c r="P60" s="7">
        <v>0</v>
      </c>
      <c r="Q60" s="15">
        <v>0</v>
      </c>
      <c r="S60" s="17">
        <v>45708.399907407409</v>
      </c>
    </row>
    <row r="61" spans="1:20">
      <c r="A61" s="2">
        <v>58</v>
      </c>
      <c r="B61" s="2" t="s">
        <v>455</v>
      </c>
      <c r="C61" s="2" t="s">
        <v>456</v>
      </c>
      <c r="D61" s="2"/>
      <c r="E61" s="1" t="s">
        <v>261</v>
      </c>
      <c r="F61" s="1" t="s">
        <v>64</v>
      </c>
      <c r="G61" s="1" t="s">
        <v>18</v>
      </c>
      <c r="I61" s="3" t="s">
        <v>454</v>
      </c>
      <c r="J61" s="2" t="s">
        <v>263</v>
      </c>
      <c r="K61" s="1" t="s">
        <v>13</v>
      </c>
      <c r="L61" s="7">
        <v>0</v>
      </c>
      <c r="Q61" s="15">
        <v>801</v>
      </c>
      <c r="S61" s="17">
        <v>45838.652175925927</v>
      </c>
      <c r="T61" s="21">
        <v>45838.652175925927</v>
      </c>
    </row>
    <row r="62" spans="1:20">
      <c r="A62" s="2">
        <v>59</v>
      </c>
      <c r="B62" s="2" t="s">
        <v>458</v>
      </c>
      <c r="C62" s="2" t="s">
        <v>456</v>
      </c>
      <c r="D62" s="2"/>
      <c r="E62" s="1" t="s">
        <v>261</v>
      </c>
      <c r="F62" s="1" t="s">
        <v>64</v>
      </c>
      <c r="G62" s="1" t="s">
        <v>18</v>
      </c>
      <c r="H62" s="1" t="s">
        <v>459</v>
      </c>
      <c r="I62" s="3" t="s">
        <v>457</v>
      </c>
      <c r="J62" s="2" t="s">
        <v>263</v>
      </c>
      <c r="K62" s="1" t="s">
        <v>13</v>
      </c>
      <c r="L62" s="7">
        <v>0</v>
      </c>
      <c r="Q62" s="15">
        <v>2001</v>
      </c>
      <c r="S62" s="17">
        <v>45838.652175925927</v>
      </c>
      <c r="T62" s="21">
        <v>45838.652175925927</v>
      </c>
    </row>
    <row r="63" spans="1:20">
      <c r="A63" s="2">
        <v>60</v>
      </c>
      <c r="B63" s="2" t="s">
        <v>461</v>
      </c>
      <c r="C63" s="2" t="s">
        <v>462</v>
      </c>
      <c r="D63" s="2">
        <v>1</v>
      </c>
      <c r="E63" s="1" t="s">
        <v>301</v>
      </c>
      <c r="F63" s="1" t="s">
        <v>64</v>
      </c>
      <c r="G63" s="1" t="s">
        <v>18</v>
      </c>
      <c r="I63" s="3" t="s">
        <v>318</v>
      </c>
      <c r="J63" s="2" t="s">
        <v>263</v>
      </c>
      <c r="K63" s="1" t="s">
        <v>13</v>
      </c>
      <c r="Q63" s="15">
        <v>1</v>
      </c>
    </row>
    <row r="64" spans="1:20">
      <c r="A64" s="2">
        <v>61</v>
      </c>
      <c r="B64" s="2" t="s">
        <v>467</v>
      </c>
      <c r="C64" s="2" t="s">
        <v>469</v>
      </c>
      <c r="D64" s="2"/>
      <c r="F64" s="1" t="s">
        <v>64</v>
      </c>
      <c r="H64" s="1" t="s">
        <v>468</v>
      </c>
      <c r="I64" s="3" t="s">
        <v>466</v>
      </c>
      <c r="J64" s="2" t="s">
        <v>263</v>
      </c>
      <c r="K64" s="1" t="s">
        <v>13</v>
      </c>
      <c r="L64" s="7">
        <v>0</v>
      </c>
      <c r="Q64" s="15">
        <v>10001</v>
      </c>
      <c r="S64" s="17">
        <v>45838.652175925927</v>
      </c>
      <c r="T64" s="21">
        <v>45838.652175925927</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MadeItems_Click">
                <anchor moveWithCells="1" sizeWithCells="1">
                  <from>
                    <xdr:col>12</xdr:col>
                    <xdr:colOff>450850</xdr:colOff>
                    <xdr:row>0</xdr:row>
                    <xdr:rowOff>31750</xdr:rowOff>
                  </from>
                  <to>
                    <xdr:col>13</xdr:col>
                    <xdr:colOff>590550</xdr:colOff>
                    <xdr:row>0</xdr:row>
                    <xdr:rowOff>438150</xdr:rowOff>
                  </to>
                </anchor>
              </controlPr>
            </control>
          </mc:Choice>
        </mc:AlternateContent>
        <mc:AlternateContent xmlns:mc="http://schemas.openxmlformats.org/markup-compatibility/2006">
          <mc:Choice Requires="x14">
            <control shapeId="3074" r:id="rId5" name="Button 2">
              <controlPr defaultSize="0" print="0" autoFill="0" autoPict="0" macro="[0]!DeductUsed_Click">
                <anchor moveWithCells="1" sizeWithCells="1">
                  <from>
                    <xdr:col>11</xdr:col>
                    <xdr:colOff>304800</xdr:colOff>
                    <xdr:row>0</xdr:row>
                    <xdr:rowOff>31750</xdr:rowOff>
                  </from>
                  <to>
                    <xdr:col>12</xdr:col>
                    <xdr:colOff>438150</xdr:colOff>
                    <xdr:row>0</xdr:row>
                    <xdr:rowOff>438150</xdr:rowOff>
                  </to>
                </anchor>
              </controlPr>
            </control>
          </mc:Choice>
        </mc:AlternateContent>
        <mc:AlternateContent xmlns:mc="http://schemas.openxmlformats.org/markup-compatibility/2006">
          <mc:Choice Requires="x14">
            <control shapeId="3076" r:id="rId6" name="Button 4">
              <controlPr defaultSize="0" print="0" autoFill="0" autoPict="0" macro="[0]!AddGoodsReceived_Click">
                <anchor moveWithCells="1" sizeWithCells="1">
                  <from>
                    <xdr:col>9</xdr:col>
                    <xdr:colOff>342900</xdr:colOff>
                    <xdr:row>0</xdr:row>
                    <xdr:rowOff>31750</xdr:rowOff>
                  </from>
                  <to>
                    <xdr:col>11</xdr:col>
                    <xdr:colOff>298450</xdr:colOff>
                    <xdr:row>0</xdr:row>
                    <xdr:rowOff>469900</xdr:rowOff>
                  </to>
                </anchor>
              </controlPr>
            </control>
          </mc:Choice>
        </mc:AlternateContent>
        <mc:AlternateContent xmlns:mc="http://schemas.openxmlformats.org/markup-compatibility/2006">
          <mc:Choice Requires="x14">
            <control shapeId="3077" r:id="rId7" name="Button 5">
              <controlPr defaultSize="0" print="0" autoFill="0" autoPict="0" macro="[0]!DeductShipments_Click">
                <anchor moveWithCells="1" sizeWithCells="1">
                  <from>
                    <xdr:col>13</xdr:col>
                    <xdr:colOff>660400</xdr:colOff>
                    <xdr:row>0</xdr:row>
                    <xdr:rowOff>31750</xdr:rowOff>
                  </from>
                  <to>
                    <xdr:col>15</xdr:col>
                    <xdr:colOff>317500</xdr:colOff>
                    <xdr:row>0</xdr:row>
                    <xdr:rowOff>438150</xdr:rowOff>
                  </to>
                </anchor>
              </controlPr>
            </control>
          </mc:Choice>
        </mc:AlternateContent>
        <mc:AlternateContent xmlns:mc="http://schemas.openxmlformats.org/markup-compatibility/2006">
          <mc:Choice Requires="x14">
            <control shapeId="3078" r:id="rId8" name="Button 6">
              <controlPr defaultSize="0" print="0" autoFill="0" autoPict="0" macro="[0]!Adjustments_Click">
                <anchor moveWithCells="1" sizeWithCells="1">
                  <from>
                    <xdr:col>15</xdr:col>
                    <xdr:colOff>342900</xdr:colOff>
                    <xdr:row>0</xdr:row>
                    <xdr:rowOff>31750</xdr:rowOff>
                  </from>
                  <to>
                    <xdr:col>16</xdr:col>
                    <xdr:colOff>450850</xdr:colOff>
                    <xdr:row>0</xdr:row>
                    <xdr:rowOff>469900</xdr:rowOff>
                  </to>
                </anchor>
              </controlPr>
            </control>
          </mc:Choice>
        </mc:AlternateContent>
        <mc:AlternateContent xmlns:mc="http://schemas.openxmlformats.org/markup-compatibility/2006">
          <mc:Choice Requires="x14">
            <control shapeId="3080" r:id="rId9" name="Button 8">
              <controlPr defaultSize="0" print="0" autoFill="0" autoPict="0" macro="[0]!UndoLastAction">
                <anchor moveWithCells="1" sizeWithCells="1">
                  <from>
                    <xdr:col>16</xdr:col>
                    <xdr:colOff>469900</xdr:colOff>
                    <xdr:row>0</xdr:row>
                    <xdr:rowOff>31750</xdr:rowOff>
                  </from>
                  <to>
                    <xdr:col>18</xdr:col>
                    <xdr:colOff>533400</xdr:colOff>
                    <xdr:row>0</xdr:row>
                    <xdr:rowOff>469900</xdr:rowOff>
                  </to>
                </anchor>
              </controlPr>
            </control>
          </mc:Choice>
        </mc:AlternateContent>
        <mc:AlternateContent xmlns:mc="http://schemas.openxmlformats.org/markup-compatibility/2006">
          <mc:Choice Requires="x14">
            <control shapeId="3081" r:id="rId10" name="Button 9">
              <controlPr defaultSize="0" print="0" autoFill="0" autoPict="0" macro="[0]!SignOut_Click">
                <anchor moveWithCells="1" sizeWithCells="1">
                  <from>
                    <xdr:col>8</xdr:col>
                    <xdr:colOff>1695450</xdr:colOff>
                    <xdr:row>0</xdr:row>
                    <xdr:rowOff>31750</xdr:rowOff>
                  </from>
                  <to>
                    <xdr:col>9</xdr:col>
                    <xdr:colOff>323850</xdr:colOff>
                    <xdr:row>0</xdr:row>
                    <xdr:rowOff>533400</xdr:rowOff>
                  </to>
                </anchor>
              </controlPr>
            </control>
          </mc:Choice>
        </mc:AlternateContent>
        <mc:AlternateContent xmlns:mc="http://schemas.openxmlformats.org/markup-compatibility/2006">
          <mc:Choice Requires="x14">
            <control shapeId="3084" r:id="rId11" name="Button 12">
              <controlPr defaultSize="0" print="0" autoFill="0" autoPict="0" macro="[0]!RedoLastAction">
                <anchor moveWithCells="1" sizeWithCells="1">
                  <from>
                    <xdr:col>18</xdr:col>
                    <xdr:colOff>552450</xdr:colOff>
                    <xdr:row>0</xdr:row>
                    <xdr:rowOff>31750</xdr:rowOff>
                  </from>
                  <to>
                    <xdr:col>19</xdr:col>
                    <xdr:colOff>152400</xdr:colOff>
                    <xdr:row>0</xdr:row>
                    <xdr:rowOff>450850</xdr:rowOff>
                  </to>
                </anchor>
              </controlPr>
            </control>
          </mc:Choice>
        </mc:AlternateContent>
        <mc:AlternateContent xmlns:mc="http://schemas.openxmlformats.org/markup-compatibility/2006">
          <mc:Choice Requires="x14">
            <control shapeId="3086" r:id="rId12" name="Button 14">
              <controlPr defaultSize="0" print="0" autoFill="0" autoPict="0" macro="[0]!ToggleTotalInvEdit.ToggleTotalInvEdit">
                <anchor moveWithCells="1" sizeWithCells="1">
                  <from>
                    <xdr:col>7</xdr:col>
                    <xdr:colOff>736600</xdr:colOff>
                    <xdr:row>0</xdr:row>
                    <xdr:rowOff>31750</xdr:rowOff>
                  </from>
                  <to>
                    <xdr:col>8</xdr:col>
                    <xdr:colOff>819150</xdr:colOff>
                    <xdr:row>0</xdr:row>
                    <xdr:rowOff>533400</xdr:rowOff>
                  </to>
                </anchor>
              </controlPr>
            </control>
          </mc:Choice>
        </mc:AlternateContent>
        <mc:AlternateContent xmlns:mc="http://schemas.openxmlformats.org/markup-compatibility/2006">
          <mc:Choice Requires="x14">
            <control shapeId="3087" r:id="rId13" name="Button 15">
              <controlPr defaultSize="0" print="0" autoFill="0" autoPict="0" macro="[0]!ToggleEditLockTotalInv">
                <anchor moveWithCells="1" sizeWithCells="1">
                  <from>
                    <xdr:col>6</xdr:col>
                    <xdr:colOff>781050</xdr:colOff>
                    <xdr:row>0</xdr:row>
                    <xdr:rowOff>57150</xdr:rowOff>
                  </from>
                  <to>
                    <xdr:col>7</xdr:col>
                    <xdr:colOff>717550</xdr:colOff>
                    <xdr:row>0</xdr:row>
                    <xdr:rowOff>546100</xdr:rowOff>
                  </to>
                </anchor>
              </controlPr>
            </control>
          </mc:Choice>
        </mc:AlternateContent>
        <mc:AlternateContent xmlns:mc="http://schemas.openxmlformats.org/markup-compatibility/2006">
          <mc:Choice Requires="x14">
            <control shapeId="3091" r:id="rId14" name="Button 19">
              <controlPr defaultSize="0" print="0" autoFill="0" autoPict="0" macro="[0]!Admin_Click">
                <anchor moveWithCells="1" sizeWithCells="1">
                  <from>
                    <xdr:col>21</xdr:col>
                    <xdr:colOff>152400</xdr:colOff>
                    <xdr:row>0</xdr:row>
                    <xdr:rowOff>69850</xdr:rowOff>
                  </from>
                  <to>
                    <xdr:col>22</xdr:col>
                    <xdr:colOff>660400</xdr:colOff>
                    <xdr:row>1</xdr:row>
                    <xdr:rowOff>88900</xdr:rowOff>
                  </to>
                </anchor>
              </controlPr>
            </control>
          </mc:Choice>
        </mc:AlternateContent>
      </controls>
    </mc:Choice>
  </mc:AlternateContent>
  <tableParts count="1">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00A34-BF98-4E15-8C48-45313BA5175A}">
  <sheetPr codeName="ReceivedTally"/>
  <dimension ref="A1:U31"/>
  <sheetViews>
    <sheetView workbookViewId="0">
      <selection activeCell="D4" sqref="D4"/>
    </sheetView>
  </sheetViews>
  <sheetFormatPr defaultRowHeight="16"/>
  <cols>
    <col min="1" max="1" width="12.25" bestFit="1" customWidth="1"/>
    <col min="3" max="3" width="21" customWidth="1"/>
    <col min="4" max="4" width="22" customWidth="1"/>
    <col min="5" max="5" width="14.08203125" bestFit="1" customWidth="1"/>
    <col min="6" max="6" width="11.08203125" bestFit="1" customWidth="1"/>
    <col min="7" max="7" width="13.08203125" customWidth="1"/>
    <col min="9" max="9" width="17" bestFit="1" customWidth="1"/>
    <col min="10" max="10" width="11.83203125" customWidth="1"/>
    <col min="11" max="11" width="13.08203125" customWidth="1"/>
    <col min="13" max="13" width="18.58203125" bestFit="1" customWidth="1"/>
    <col min="14" max="14" width="15.58203125" style="52" bestFit="1" customWidth="1"/>
  </cols>
  <sheetData>
    <row r="1" spans="1:14" ht="33" customHeight="1"/>
    <row r="2" spans="1:14" ht="33" customHeight="1">
      <c r="A2" t="s">
        <v>491</v>
      </c>
      <c r="C2" s="39" t="s">
        <v>501</v>
      </c>
      <c r="D2" s="39" t="s">
        <v>170</v>
      </c>
      <c r="E2" s="39" t="s">
        <v>168</v>
      </c>
      <c r="F2" s="39" t="s">
        <v>428</v>
      </c>
      <c r="G2" s="39"/>
      <c r="H2" s="39" t="s">
        <v>4</v>
      </c>
      <c r="I2" s="39" t="s">
        <v>482</v>
      </c>
      <c r="J2" s="39" t="s">
        <v>5</v>
      </c>
      <c r="K2" s="39" t="s">
        <v>106</v>
      </c>
      <c r="L2" s="39" t="s">
        <v>423</v>
      </c>
      <c r="M2" s="39" t="s">
        <v>483</v>
      </c>
      <c r="N2" s="53" t="s">
        <v>484</v>
      </c>
    </row>
    <row r="3" spans="1:14">
      <c r="C3" s="1">
        <v>100</v>
      </c>
      <c r="D3" s="1" t="s">
        <v>67</v>
      </c>
      <c r="E3" s="1">
        <v>10</v>
      </c>
      <c r="F3" s="68">
        <v>10</v>
      </c>
      <c r="H3" s="39" t="s">
        <v>12</v>
      </c>
      <c r="I3" s="39"/>
      <c r="J3" s="39" t="s">
        <v>13</v>
      </c>
      <c r="K3" s="39" t="s">
        <v>96</v>
      </c>
      <c r="L3" s="39">
        <v>6</v>
      </c>
      <c r="M3" s="50">
        <v>45828.614988425928</v>
      </c>
      <c r="N3" s="53">
        <v>1</v>
      </c>
    </row>
    <row r="4" spans="1:14">
      <c r="C4" s="1">
        <v>101</v>
      </c>
      <c r="D4" s="1" t="s">
        <v>20</v>
      </c>
      <c r="E4" s="1">
        <v>10</v>
      </c>
      <c r="F4" s="68">
        <v>10</v>
      </c>
      <c r="H4" s="39" t="s">
        <v>12</v>
      </c>
      <c r="I4" s="39"/>
      <c r="J4" s="39" t="s">
        <v>13</v>
      </c>
      <c r="K4" s="39" t="s">
        <v>100</v>
      </c>
      <c r="L4" s="39">
        <v>10</v>
      </c>
      <c r="M4" s="50">
        <v>45828.615231481483</v>
      </c>
      <c r="N4" s="53">
        <v>2</v>
      </c>
    </row>
    <row r="17" spans="18:21">
      <c r="R17" t="s">
        <v>170</v>
      </c>
      <c r="S17" t="s">
        <v>168</v>
      </c>
      <c r="T17" t="s">
        <v>4</v>
      </c>
      <c r="U17" t="s">
        <v>428</v>
      </c>
    </row>
    <row r="18" spans="18:21">
      <c r="R18" t="s">
        <v>502</v>
      </c>
      <c r="S18">
        <v>288</v>
      </c>
      <c r="T18" t="s">
        <v>12</v>
      </c>
      <c r="U18">
        <v>4000</v>
      </c>
    </row>
    <row r="19" spans="18:21">
      <c r="R19" t="s">
        <v>503</v>
      </c>
      <c r="S19">
        <v>24</v>
      </c>
      <c r="T19" t="s">
        <v>12</v>
      </c>
      <c r="U19">
        <v>200</v>
      </c>
    </row>
    <row r="21" spans="18:21">
      <c r="R21" t="s">
        <v>168</v>
      </c>
    </row>
    <row r="22" spans="18:21">
      <c r="R22">
        <v>288</v>
      </c>
    </row>
    <row r="23" spans="18:21">
      <c r="R23">
        <v>24</v>
      </c>
    </row>
    <row r="25" spans="18:21">
      <c r="R25" t="s">
        <v>504</v>
      </c>
    </row>
    <row r="26" spans="18:21">
      <c r="R26" t="s">
        <v>12</v>
      </c>
    </row>
    <row r="27" spans="18:21">
      <c r="R27" t="s">
        <v>12</v>
      </c>
    </row>
    <row r="29" spans="18:21">
      <c r="R29" t="s">
        <v>428</v>
      </c>
    </row>
    <row r="30" spans="18:21">
      <c r="R30">
        <v>4000</v>
      </c>
    </row>
    <row r="31" spans="18:21">
      <c r="R31">
        <v>200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LaunchReceivedTally">
                <anchor moveWithCells="1" sizeWithCells="1">
                  <from>
                    <xdr:col>3</xdr:col>
                    <xdr:colOff>19050</xdr:colOff>
                    <xdr:row>0</xdr:row>
                    <xdr:rowOff>0</xdr:rowOff>
                  </from>
                  <to>
                    <xdr:col>3</xdr:col>
                    <xdr:colOff>1289050</xdr:colOff>
                    <xdr:row>0</xdr:row>
                    <xdr:rowOff>400050</xdr:rowOff>
                  </to>
                </anchor>
              </controlPr>
            </control>
          </mc:Choice>
        </mc:AlternateContent>
        <mc:AlternateContent xmlns:mc="http://schemas.openxmlformats.org/markup-compatibility/2006">
          <mc:Choice Requires="x14">
            <control shapeId="16386" r:id="rId4" name="Button 2">
              <controlPr defaultSize="0" print="0" autoFill="0" autoPict="0" macro="[0]!Button2_Click">
                <anchor moveWithCells="1" sizeWithCells="1">
                  <from>
                    <xdr:col>4</xdr:col>
                    <xdr:colOff>12700</xdr:colOff>
                    <xdr:row>0</xdr:row>
                    <xdr:rowOff>0</xdr:rowOff>
                  </from>
                  <to>
                    <xdr:col>4</xdr:col>
                    <xdr:colOff>641350</xdr:colOff>
                    <xdr:row>0</xdr:row>
                    <xdr:rowOff>400050</xdr:rowOff>
                  </to>
                </anchor>
              </controlPr>
            </control>
          </mc:Choice>
        </mc:AlternateContent>
        <mc:AlternateContent xmlns:mc="http://schemas.openxmlformats.org/markup-compatibility/2006">
          <mc:Choice Requires="x14">
            <control shapeId="16387" r:id="rId5" name="Button 3">
              <controlPr defaultSize="0" print="0" autoFill="0" autoPict="0" macro="[0]!Button3_Click">
                <anchor moveWithCells="1" sizeWithCells="1">
                  <from>
                    <xdr:col>4</xdr:col>
                    <xdr:colOff>660400</xdr:colOff>
                    <xdr:row>0</xdr:row>
                    <xdr:rowOff>0</xdr:rowOff>
                  </from>
                  <to>
                    <xdr:col>5</xdr:col>
                    <xdr:colOff>0</xdr:colOff>
                    <xdr:row>0</xdr:row>
                    <xdr:rowOff>400050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49D2B-F56C-4FF5-AA65-30040ABE4D26}">
  <sheetPr codeName="ShipmentsTally"/>
  <dimension ref="A1:Q18"/>
  <sheetViews>
    <sheetView tabSelected="1" zoomScale="85" zoomScaleNormal="85" workbookViewId="0">
      <selection activeCell="D5" sqref="D5"/>
    </sheetView>
  </sheetViews>
  <sheetFormatPr defaultColWidth="9" defaultRowHeight="16"/>
  <cols>
    <col min="1" max="1" width="15.08203125" style="1" bestFit="1" customWidth="1"/>
    <col min="2" max="2" width="9" style="1"/>
    <col min="3" max="3" width="16.83203125" style="1" bestFit="1" customWidth="1"/>
    <col min="4" max="4" width="28.75" style="1" customWidth="1"/>
    <col min="5" max="5" width="11.08203125" style="1" bestFit="1" customWidth="1"/>
    <col min="6" max="7" width="9" style="1"/>
    <col min="8" max="8" width="9.58203125" style="1" customWidth="1"/>
    <col min="9" max="9" width="11.83203125" style="1" customWidth="1"/>
    <col min="10" max="10" width="13.08203125" style="1" customWidth="1"/>
    <col min="11" max="11" width="11.33203125" style="1" bestFit="1" customWidth="1"/>
    <col min="12" max="12" width="18.58203125" style="1" bestFit="1" customWidth="1"/>
    <col min="13" max="13" width="16.33203125" style="54" bestFit="1" customWidth="1"/>
    <col min="14" max="15" width="9" style="1"/>
    <col min="16" max="16" width="20.33203125" style="1" customWidth="1"/>
    <col min="17" max="17" width="23.25" style="1" customWidth="1"/>
    <col min="18" max="16384" width="9" style="1"/>
  </cols>
  <sheetData>
    <row r="1" spans="1:17" ht="33" customHeight="1"/>
    <row r="2" spans="1:17" ht="33" customHeight="1">
      <c r="A2" s="1" t="s">
        <v>491</v>
      </c>
      <c r="C2" s="39" t="s">
        <v>169</v>
      </c>
      <c r="D2" s="39" t="s">
        <v>170</v>
      </c>
      <c r="E2" s="39" t="s">
        <v>168</v>
      </c>
      <c r="F2" s="39"/>
      <c r="G2" s="39" t="s">
        <v>4</v>
      </c>
      <c r="H2" s="39" t="s">
        <v>482</v>
      </c>
      <c r="I2" s="39" t="s">
        <v>5</v>
      </c>
      <c r="J2" s="39" t="s">
        <v>106</v>
      </c>
      <c r="K2" s="39" t="s">
        <v>423</v>
      </c>
      <c r="L2" s="48" t="s">
        <v>483</v>
      </c>
      <c r="M2" s="53" t="s">
        <v>484</v>
      </c>
    </row>
    <row r="3" spans="1:17">
      <c r="C3" s="1">
        <v>100</v>
      </c>
      <c r="D3" s="1" t="s">
        <v>37</v>
      </c>
      <c r="E3" s="1">
        <v>144</v>
      </c>
      <c r="G3" s="39" t="s">
        <v>12</v>
      </c>
      <c r="H3" s="39"/>
      <c r="I3" s="39" t="s">
        <v>13</v>
      </c>
      <c r="J3" s="39" t="s">
        <v>293</v>
      </c>
      <c r="K3" s="39">
        <v>33</v>
      </c>
      <c r="L3" s="49">
        <v>45827.831689814811</v>
      </c>
      <c r="M3" s="53">
        <v>1</v>
      </c>
    </row>
    <row r="4" spans="1:17">
      <c r="C4" s="1">
        <v>101</v>
      </c>
      <c r="D4" s="1" t="s">
        <v>26</v>
      </c>
      <c r="E4" s="1">
        <v>8</v>
      </c>
      <c r="G4" s="39" t="s">
        <v>12</v>
      </c>
      <c r="H4" s="39"/>
      <c r="I4" s="39" t="s">
        <v>13</v>
      </c>
      <c r="J4" s="39" t="s">
        <v>281</v>
      </c>
      <c r="K4" s="39">
        <v>26</v>
      </c>
      <c r="L4" s="49">
        <v>45827.832118055558</v>
      </c>
      <c r="M4" s="53">
        <v>2</v>
      </c>
    </row>
    <row r="5" spans="1:17">
      <c r="C5" s="1">
        <v>102</v>
      </c>
      <c r="D5" s="1" t="s">
        <v>26</v>
      </c>
      <c r="E5" s="1">
        <v>16</v>
      </c>
      <c r="G5" s="39" t="s">
        <v>12</v>
      </c>
      <c r="H5" s="39"/>
      <c r="I5" s="39" t="s">
        <v>13</v>
      </c>
      <c r="J5" s="39" t="s">
        <v>281</v>
      </c>
      <c r="K5" s="39">
        <v>26</v>
      </c>
      <c r="L5" s="49">
        <v>45827.832453703704</v>
      </c>
      <c r="M5" s="53">
        <v>3</v>
      </c>
      <c r="P5" s="70" t="s">
        <v>519</v>
      </c>
      <c r="Q5" s="70" t="s">
        <v>518</v>
      </c>
    </row>
    <row r="6" spans="1:17">
      <c r="C6" s="1">
        <v>103</v>
      </c>
      <c r="D6" s="1" t="s">
        <v>37</v>
      </c>
      <c r="E6" s="1">
        <v>144</v>
      </c>
      <c r="G6" s="39" t="s">
        <v>12</v>
      </c>
      <c r="H6" s="39"/>
      <c r="I6" s="39" t="s">
        <v>13</v>
      </c>
      <c r="J6" s="39" t="s">
        <v>293</v>
      </c>
      <c r="K6" s="39">
        <v>33</v>
      </c>
      <c r="L6" s="49">
        <v>45827.848993055559</v>
      </c>
      <c r="M6" s="53">
        <v>4</v>
      </c>
      <c r="P6" s="69" t="s">
        <v>505</v>
      </c>
      <c r="Q6" s="69" t="s">
        <v>505</v>
      </c>
    </row>
    <row r="7" spans="1:17">
      <c r="P7" s="69" t="s">
        <v>506</v>
      </c>
      <c r="Q7" s="69" t="s">
        <v>506</v>
      </c>
    </row>
    <row r="8" spans="1:17">
      <c r="P8" s="69" t="s">
        <v>507</v>
      </c>
    </row>
    <row r="9" spans="1:17">
      <c r="P9" s="69" t="s">
        <v>508</v>
      </c>
      <c r="Q9" s="69" t="s">
        <v>508</v>
      </c>
    </row>
    <row r="10" spans="1:17">
      <c r="F10" s="51"/>
      <c r="P10" s="69" t="s">
        <v>509</v>
      </c>
    </row>
    <row r="11" spans="1:17">
      <c r="P11" s="69" t="s">
        <v>510</v>
      </c>
    </row>
    <row r="12" spans="1:17">
      <c r="Q12" s="69" t="s">
        <v>511</v>
      </c>
    </row>
    <row r="13" spans="1:17">
      <c r="Q13" s="69" t="s">
        <v>512</v>
      </c>
    </row>
    <row r="14" spans="1:17">
      <c r="Q14" s="69" t="s">
        <v>513</v>
      </c>
    </row>
    <row r="15" spans="1:17">
      <c r="F15" s="51"/>
      <c r="Q15" s="69" t="s">
        <v>514</v>
      </c>
    </row>
    <row r="16" spans="1:17">
      <c r="Q16" s="69" t="s">
        <v>515</v>
      </c>
    </row>
    <row r="17" spans="17:17">
      <c r="Q17" s="69" t="s">
        <v>516</v>
      </c>
    </row>
    <row r="18" spans="17:17">
      <c r="Q18" s="69" t="s">
        <v>517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anchor moveWithCells="1" sizeWithCells="1">
                  <from>
                    <xdr:col>3</xdr:col>
                    <xdr:colOff>1327150</xdr:colOff>
                    <xdr:row>0</xdr:row>
                    <xdr:rowOff>0</xdr:rowOff>
                  </from>
                  <to>
                    <xdr:col>3</xdr:col>
                    <xdr:colOff>1924050</xdr:colOff>
                    <xdr:row>0</xdr:row>
                    <xdr:rowOff>393700</xdr:rowOff>
                  </to>
                </anchor>
              </controlPr>
            </control>
          </mc:Choice>
        </mc:AlternateContent>
        <mc:AlternateContent xmlns:mc="http://schemas.openxmlformats.org/markup-compatibility/2006">
          <mc:Choice Requires="x14">
            <control shapeId="12291" r:id="rId4" name="Button 3">
              <controlPr defaultSize="0" print="0" autoFill="0" autoPict="0">
                <anchor moveWithCells="1" sizeWithCells="1">
                  <from>
                    <xdr:col>3</xdr:col>
                    <xdr:colOff>1955800</xdr:colOff>
                    <xdr:row>0</xdr:row>
                    <xdr:rowOff>0</xdr:rowOff>
                  </from>
                  <to>
                    <xdr:col>4</xdr:col>
                    <xdr:colOff>374650</xdr:colOff>
                    <xdr:row>0</xdr:row>
                    <xdr:rowOff>393700</xdr:rowOff>
                  </to>
                </anchor>
              </controlPr>
            </control>
          </mc:Choice>
        </mc:AlternateContent>
        <mc:AlternateContent xmlns:mc="http://schemas.openxmlformats.org/markup-compatibility/2006">
          <mc:Choice Requires="x14">
            <control shapeId="12292" r:id="rId5" name="Button 4">
              <controlPr defaultSize="0" print="0" autoFill="0" autoPict="0" macro="[0]!LaunchShipmentsTally" altText="">
                <anchor moveWithCells="1" sizeWithCells="1">
                  <from>
                    <xdr:col>3</xdr:col>
                    <xdr:colOff>222250</xdr:colOff>
                    <xdr:row>0</xdr:row>
                    <xdr:rowOff>19050</xdr:rowOff>
                  </from>
                  <to>
                    <xdr:col>3</xdr:col>
                    <xdr:colOff>1308100</xdr:colOff>
                    <xdr:row>0</xdr:row>
                    <xdr:rowOff>393700</xdr:rowOff>
                  </to>
                </anchor>
              </controlPr>
            </control>
          </mc:Choice>
        </mc:AlternateContent>
        <mc:AlternateContent xmlns:mc="http://schemas.openxmlformats.org/markup-compatibility/2006">
          <mc:Choice Requires="x14">
            <control shapeId="12293" r:id="rId6" name="Button 5">
              <controlPr defaultSize="0" print="0" autoFill="0" autoPict="0" macro="[0]!AddBigSearchButton">
                <anchor moveWithCells="1" sizeWithCells="1">
                  <from>
                    <xdr:col>4</xdr:col>
                    <xdr:colOff>546100</xdr:colOff>
                    <xdr:row>0</xdr:row>
                    <xdr:rowOff>31750</xdr:rowOff>
                  </from>
                  <to>
                    <xdr:col>6</xdr:col>
                    <xdr:colOff>127000</xdr:colOff>
                    <xdr:row>0</xdr:row>
                    <xdr:rowOff>400050</xdr:rowOff>
                  </to>
                </anchor>
              </controlPr>
            </control>
          </mc:Choice>
        </mc:AlternateContent>
      </controls>
    </mc:Choice>
  </mc:AlternateContent>
  <tableParts count="4">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AB3C0-4A9D-4B38-B846-46AD5884C0BC}">
  <sheetPr codeName="Production"/>
  <dimension ref="A1"/>
  <sheetViews>
    <sheetView workbookViewId="0">
      <selection activeCell="I28" sqref="I28"/>
    </sheetView>
  </sheetViews>
  <sheetFormatPr defaultRowHeight="16"/>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anchor moveWithCells="1" sizeWithCells="1">
                  <from>
                    <xdr:col>5</xdr:col>
                    <xdr:colOff>304800</xdr:colOff>
                    <xdr:row>0</xdr:row>
                    <xdr:rowOff>57150</xdr:rowOff>
                  </from>
                  <to>
                    <xdr:col>7</xdr:col>
                    <xdr:colOff>374650</xdr:colOff>
                    <xdr:row>2</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7417-4A4F-4D90-B597-D9A16CFFB5F5}">
  <sheetPr codeName="CreateRecipe"/>
  <dimension ref="A1"/>
  <sheetViews>
    <sheetView workbookViewId="0">
      <selection activeCell="I28" sqref="I28"/>
    </sheetView>
  </sheetViews>
  <sheetFormatPr defaultRowHeight="16"/>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B01E5-6D0D-48A9-B530-B394B9DA54C9}">
  <sheetPr codeName="Prediction"/>
  <dimension ref="A1"/>
  <sheetViews>
    <sheetView workbookViewId="0">
      <selection activeCell="I28" sqref="I28"/>
    </sheetView>
  </sheetViews>
  <sheetFormatPr defaultRowHeight="16"/>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0CD5B-760B-4597-B62A-DFEECA989116}">
  <sheetPr codeName="Recipes"/>
  <dimension ref="A1:N66"/>
  <sheetViews>
    <sheetView topLeftCell="D1" workbookViewId="0">
      <selection activeCell="I28" sqref="I28"/>
    </sheetView>
  </sheetViews>
  <sheetFormatPr defaultColWidth="9" defaultRowHeight="24"/>
  <cols>
    <col min="1" max="3" width="10.58203125" style="40" customWidth="1"/>
    <col min="4" max="4" width="31" style="41" customWidth="1"/>
    <col min="5" max="5" width="16.33203125" style="40" bestFit="1" customWidth="1"/>
    <col min="6" max="6" width="20.83203125" style="38" customWidth="1"/>
    <col min="7" max="7" width="18.75" style="43" bestFit="1" customWidth="1"/>
    <col min="8" max="8" width="18.75" style="2" bestFit="1" customWidth="1"/>
    <col min="9" max="9" width="39.08203125" style="1" bestFit="1" customWidth="1"/>
    <col min="10" max="10" width="13" style="59" bestFit="1" customWidth="1"/>
    <col min="11" max="11" width="11.75" style="1" customWidth="1"/>
    <col min="12" max="12" width="11.75" style="64" customWidth="1"/>
    <col min="13" max="13" width="16.33203125" style="1" bestFit="1" customWidth="1"/>
    <col min="14" max="14" width="11.75" style="1" customWidth="1"/>
    <col min="15" max="17" width="28" style="1" customWidth="1"/>
    <col min="18" max="18" width="30.25" style="1" bestFit="1" customWidth="1"/>
    <col min="19" max="19" width="33.75" style="1" bestFit="1" customWidth="1"/>
    <col min="20" max="16384" width="9" style="1"/>
  </cols>
  <sheetData>
    <row r="1" spans="1:14" s="40" customFormat="1" ht="33" customHeight="1">
      <c r="A1" s="40" t="s">
        <v>423</v>
      </c>
      <c r="B1" s="40" t="s">
        <v>485</v>
      </c>
      <c r="C1" s="40" t="s">
        <v>481</v>
      </c>
      <c r="D1" s="40" t="s">
        <v>424</v>
      </c>
      <c r="E1" s="40" t="s">
        <v>464</v>
      </c>
      <c r="F1" s="42" t="s">
        <v>2</v>
      </c>
      <c r="G1" s="40" t="s">
        <v>425</v>
      </c>
      <c r="H1" s="40" t="s">
        <v>438</v>
      </c>
      <c r="I1" s="40" t="s">
        <v>426</v>
      </c>
      <c r="J1" s="58" t="s">
        <v>490</v>
      </c>
      <c r="K1" s="40" t="s">
        <v>4</v>
      </c>
      <c r="L1" s="65" t="s">
        <v>486</v>
      </c>
      <c r="M1" s="40" t="s">
        <v>427</v>
      </c>
      <c r="N1" s="40" t="s">
        <v>428</v>
      </c>
    </row>
    <row r="2" spans="1:14" ht="16">
      <c r="A2" s="40">
        <v>1</v>
      </c>
      <c r="C2" s="40">
        <v>1</v>
      </c>
      <c r="D2" s="41" t="s">
        <v>429</v>
      </c>
      <c r="E2" s="40" t="s">
        <v>465</v>
      </c>
      <c r="F2" s="1"/>
      <c r="G2" s="42" t="s">
        <v>430</v>
      </c>
      <c r="H2" s="2" t="s">
        <v>7</v>
      </c>
      <c r="I2" s="1" t="s">
        <v>431</v>
      </c>
      <c r="K2" s="1" t="s">
        <v>487</v>
      </c>
      <c r="L2" s="64">
        <v>65</v>
      </c>
    </row>
    <row r="3" spans="1:14" ht="16">
      <c r="A3" s="40">
        <v>2</v>
      </c>
      <c r="C3" s="40">
        <v>1</v>
      </c>
      <c r="D3" s="41" t="s">
        <v>429</v>
      </c>
      <c r="E3" s="40" t="s">
        <v>465</v>
      </c>
      <c r="F3" s="1"/>
      <c r="G3" s="42" t="s">
        <v>430</v>
      </c>
      <c r="H3" s="2" t="s">
        <v>7</v>
      </c>
      <c r="I3" s="1" t="s">
        <v>466</v>
      </c>
      <c r="K3" s="1" t="s">
        <v>487</v>
      </c>
      <c r="L3" s="64">
        <v>1000</v>
      </c>
    </row>
    <row r="4" spans="1:14" ht="16">
      <c r="A4" s="40">
        <v>3</v>
      </c>
      <c r="C4" s="40">
        <v>1</v>
      </c>
      <c r="D4" s="41" t="s">
        <v>429</v>
      </c>
      <c r="E4" s="40" t="s">
        <v>465</v>
      </c>
      <c r="F4" s="1"/>
      <c r="G4" s="42" t="s">
        <v>430</v>
      </c>
      <c r="H4" s="2" t="s">
        <v>6</v>
      </c>
      <c r="I4" s="1" t="s">
        <v>442</v>
      </c>
      <c r="K4" s="1" t="s">
        <v>487</v>
      </c>
      <c r="L4" s="64">
        <v>683.4</v>
      </c>
    </row>
    <row r="5" spans="1:14" ht="16">
      <c r="A5" s="40">
        <v>4</v>
      </c>
      <c r="C5" s="40">
        <v>1</v>
      </c>
      <c r="D5" s="41" t="s">
        <v>429</v>
      </c>
      <c r="E5" s="40" t="s">
        <v>465</v>
      </c>
      <c r="F5" s="1"/>
      <c r="G5" s="42" t="s">
        <v>432</v>
      </c>
      <c r="H5" s="2" t="s">
        <v>7</v>
      </c>
      <c r="I5" s="1" t="s">
        <v>472</v>
      </c>
      <c r="J5" s="56">
        <v>0.44950000000000001</v>
      </c>
      <c r="K5" s="1" t="s">
        <v>487</v>
      </c>
      <c r="L5" s="64">
        <f>J5*L$14</f>
        <v>53.94</v>
      </c>
      <c r="M5" s="64">
        <f>L5</f>
        <v>53.94</v>
      </c>
    </row>
    <row r="6" spans="1:14" ht="16">
      <c r="A6" s="40">
        <v>5</v>
      </c>
      <c r="C6" s="40">
        <v>1</v>
      </c>
      <c r="D6" s="41" t="s">
        <v>429</v>
      </c>
      <c r="E6" s="40" t="s">
        <v>465</v>
      </c>
      <c r="F6" s="1"/>
      <c r="G6" s="42" t="s">
        <v>432</v>
      </c>
      <c r="H6" s="2" t="s">
        <v>7</v>
      </c>
      <c r="I6" s="1" t="s">
        <v>433</v>
      </c>
      <c r="J6" s="56">
        <v>0.1492</v>
      </c>
      <c r="K6" s="1" t="s">
        <v>487</v>
      </c>
      <c r="L6" s="64">
        <f t="shared" ref="L6:L13" si="0">J6*L$14</f>
        <v>17.904</v>
      </c>
      <c r="M6" s="64">
        <f>L6+M5</f>
        <v>71.843999999999994</v>
      </c>
    </row>
    <row r="7" spans="1:14" ht="16">
      <c r="A7" s="40">
        <v>6</v>
      </c>
      <c r="C7" s="40">
        <v>1</v>
      </c>
      <c r="D7" s="41" t="s">
        <v>429</v>
      </c>
      <c r="E7" s="40" t="s">
        <v>465</v>
      </c>
      <c r="F7" s="1"/>
      <c r="G7" s="42" t="s">
        <v>432</v>
      </c>
      <c r="H7" s="2" t="s">
        <v>7</v>
      </c>
      <c r="I7" s="1" t="s">
        <v>434</v>
      </c>
      <c r="J7" s="56">
        <v>0.22389999999999999</v>
      </c>
      <c r="K7" s="1" t="s">
        <v>487</v>
      </c>
      <c r="L7" s="64">
        <f t="shared" si="0"/>
        <v>26.867999999999999</v>
      </c>
      <c r="M7" s="64">
        <f>M6+L7</f>
        <v>98.711999999999989</v>
      </c>
    </row>
    <row r="8" spans="1:14" ht="16">
      <c r="A8" s="40">
        <v>7</v>
      </c>
      <c r="C8" s="40">
        <v>1</v>
      </c>
      <c r="D8" s="41" t="s">
        <v>429</v>
      </c>
      <c r="E8" s="40" t="s">
        <v>465</v>
      </c>
      <c r="F8" s="1"/>
      <c r="G8" s="42" t="s">
        <v>432</v>
      </c>
      <c r="H8" s="2" t="s">
        <v>7</v>
      </c>
      <c r="I8" s="1" t="s">
        <v>48</v>
      </c>
      <c r="J8" s="56">
        <v>0.1071</v>
      </c>
      <c r="K8" s="1" t="s">
        <v>487</v>
      </c>
      <c r="L8" s="64">
        <f t="shared" si="0"/>
        <v>12.852</v>
      </c>
      <c r="M8" s="64">
        <f t="shared" ref="M8" si="1">L8+M7</f>
        <v>111.56399999999999</v>
      </c>
    </row>
    <row r="9" spans="1:14" ht="16">
      <c r="A9" s="40">
        <v>8</v>
      </c>
      <c r="C9" s="40">
        <v>1</v>
      </c>
      <c r="D9" s="41" t="s">
        <v>429</v>
      </c>
      <c r="E9" s="40" t="s">
        <v>465</v>
      </c>
      <c r="F9" s="1"/>
      <c r="G9" s="42" t="s">
        <v>432</v>
      </c>
      <c r="H9" s="2" t="s">
        <v>7</v>
      </c>
      <c r="I9" s="1" t="s">
        <v>43</v>
      </c>
      <c r="J9" s="56">
        <v>3.3099999999999997E-2</v>
      </c>
      <c r="K9" s="1" t="s">
        <v>487</v>
      </c>
      <c r="L9" s="64">
        <f t="shared" si="0"/>
        <v>3.9719999999999995</v>
      </c>
      <c r="M9" s="64">
        <f t="shared" ref="M9" si="2">M8+L9</f>
        <v>115.53599999999999</v>
      </c>
    </row>
    <row r="10" spans="1:14" ht="16">
      <c r="A10" s="40">
        <v>9</v>
      </c>
      <c r="C10" s="40">
        <v>1</v>
      </c>
      <c r="D10" s="41" t="s">
        <v>429</v>
      </c>
      <c r="E10" s="40" t="s">
        <v>465</v>
      </c>
      <c r="F10" s="1"/>
      <c r="G10" s="42" t="s">
        <v>432</v>
      </c>
      <c r="H10" s="2" t="s">
        <v>7</v>
      </c>
      <c r="I10" s="1" t="s">
        <v>41</v>
      </c>
      <c r="J10" s="57">
        <v>1.47E-2</v>
      </c>
      <c r="K10" s="1" t="s">
        <v>487</v>
      </c>
      <c r="L10" s="64">
        <f t="shared" si="0"/>
        <v>1.764</v>
      </c>
      <c r="M10" s="64">
        <f t="shared" ref="M10" si="3">L10+M9</f>
        <v>117.29999999999998</v>
      </c>
    </row>
    <row r="11" spans="1:14" ht="16">
      <c r="A11" s="40">
        <v>10</v>
      </c>
      <c r="C11" s="40">
        <v>1</v>
      </c>
      <c r="D11" s="41" t="s">
        <v>429</v>
      </c>
      <c r="E11" s="40" t="s">
        <v>465</v>
      </c>
      <c r="F11" s="1"/>
      <c r="G11" s="42" t="s">
        <v>432</v>
      </c>
      <c r="H11" s="2" t="s">
        <v>7</v>
      </c>
      <c r="I11" s="1" t="s">
        <v>435</v>
      </c>
      <c r="J11" s="56">
        <v>1.46E-2</v>
      </c>
      <c r="K11" s="1" t="s">
        <v>487</v>
      </c>
      <c r="L11" s="64">
        <f t="shared" si="0"/>
        <v>1.752</v>
      </c>
      <c r="M11" s="64">
        <f t="shared" ref="M11" si="4">M10+L11</f>
        <v>119.05199999999998</v>
      </c>
    </row>
    <row r="12" spans="1:14" ht="16">
      <c r="A12" s="40">
        <v>11</v>
      </c>
      <c r="C12" s="40">
        <v>1</v>
      </c>
      <c r="D12" s="41" t="s">
        <v>429</v>
      </c>
      <c r="E12" s="40" t="s">
        <v>465</v>
      </c>
      <c r="F12" s="1"/>
      <c r="G12" s="42" t="s">
        <v>432</v>
      </c>
      <c r="H12" s="2" t="s">
        <v>7</v>
      </c>
      <c r="I12" s="1" t="s">
        <v>436</v>
      </c>
      <c r="J12" s="56">
        <v>5.4999999999999997E-3</v>
      </c>
      <c r="K12" s="1" t="s">
        <v>487</v>
      </c>
      <c r="L12" s="64">
        <f t="shared" si="0"/>
        <v>0.65999999999999992</v>
      </c>
      <c r="M12" s="64">
        <f t="shared" ref="M12" si="5">L12+M11</f>
        <v>119.71199999999997</v>
      </c>
    </row>
    <row r="13" spans="1:14" ht="16">
      <c r="A13" s="40">
        <v>12</v>
      </c>
      <c r="C13" s="40">
        <v>1</v>
      </c>
      <c r="D13" s="41" t="s">
        <v>429</v>
      </c>
      <c r="E13" s="40" t="s">
        <v>465</v>
      </c>
      <c r="F13" s="1"/>
      <c r="G13" s="42" t="s">
        <v>432</v>
      </c>
      <c r="H13" s="2" t="s">
        <v>7</v>
      </c>
      <c r="I13" s="1" t="s">
        <v>437</v>
      </c>
      <c r="J13" s="56">
        <v>2.3999999999999998E-3</v>
      </c>
      <c r="K13" s="1" t="s">
        <v>487</v>
      </c>
      <c r="L13" s="64">
        <f t="shared" si="0"/>
        <v>0.28799999999999998</v>
      </c>
      <c r="M13" s="64">
        <f t="shared" ref="M13" si="6">M12+L13</f>
        <v>119.99999999999997</v>
      </c>
    </row>
    <row r="14" spans="1:14" ht="16">
      <c r="A14" s="40">
        <v>13</v>
      </c>
      <c r="C14" s="40">
        <v>1</v>
      </c>
      <c r="D14" s="41" t="s">
        <v>429</v>
      </c>
      <c r="E14" s="40" t="s">
        <v>465</v>
      </c>
      <c r="F14" s="1"/>
      <c r="G14" s="42" t="s">
        <v>432</v>
      </c>
      <c r="H14" s="2" t="s">
        <v>6</v>
      </c>
      <c r="I14" s="1" t="s">
        <v>439</v>
      </c>
      <c r="J14" s="60">
        <f>SUM(J5:J13)</f>
        <v>0.99999999999999989</v>
      </c>
      <c r="K14" s="1" t="s">
        <v>487</v>
      </c>
      <c r="L14" s="64">
        <v>120</v>
      </c>
    </row>
    <row r="15" spans="1:14" ht="16">
      <c r="A15" s="40">
        <v>14</v>
      </c>
      <c r="C15" s="40">
        <v>1</v>
      </c>
      <c r="D15" s="41" t="s">
        <v>429</v>
      </c>
      <c r="E15" s="40" t="s">
        <v>465</v>
      </c>
      <c r="F15" s="1"/>
      <c r="G15" s="42" t="s">
        <v>441</v>
      </c>
      <c r="H15" s="2" t="s">
        <v>7</v>
      </c>
      <c r="I15" s="1" t="s">
        <v>442</v>
      </c>
      <c r="J15" s="62">
        <v>0.36679</v>
      </c>
      <c r="K15" s="1" t="s">
        <v>487</v>
      </c>
      <c r="L15" s="64">
        <f>J15*L$20</f>
        <v>227.80409925000001</v>
      </c>
    </row>
    <row r="16" spans="1:14" ht="16">
      <c r="A16" s="40">
        <v>15</v>
      </c>
      <c r="C16" s="40">
        <v>1</v>
      </c>
      <c r="D16" s="41" t="s">
        <v>429</v>
      </c>
      <c r="E16" s="40" t="s">
        <v>465</v>
      </c>
      <c r="F16" s="1"/>
      <c r="G16" s="42" t="s">
        <v>441</v>
      </c>
      <c r="H16" s="2" t="s">
        <v>7</v>
      </c>
      <c r="I16" s="1" t="s">
        <v>440</v>
      </c>
      <c r="J16" s="63">
        <v>4.0000000000000001E-3</v>
      </c>
      <c r="K16" s="1" t="s">
        <v>487</v>
      </c>
      <c r="L16" s="64">
        <f t="shared" ref="L16:L19" si="7">J16*L$20</f>
        <v>2.4843000000000002</v>
      </c>
    </row>
    <row r="17" spans="1:12" ht="16">
      <c r="A17" s="40">
        <v>16</v>
      </c>
      <c r="C17" s="40">
        <v>1</v>
      </c>
      <c r="D17" s="41" t="s">
        <v>429</v>
      </c>
      <c r="E17" s="40" t="s">
        <v>465</v>
      </c>
      <c r="F17" s="1"/>
      <c r="G17" s="42" t="s">
        <v>441</v>
      </c>
      <c r="H17" s="2" t="s">
        <v>7</v>
      </c>
      <c r="I17" s="1" t="s">
        <v>439</v>
      </c>
      <c r="J17" s="62">
        <v>1.532E-2</v>
      </c>
      <c r="K17" s="1" t="s">
        <v>487</v>
      </c>
      <c r="L17" s="64">
        <f t="shared" si="7"/>
        <v>9.5148690000000009</v>
      </c>
    </row>
    <row r="18" spans="1:12" ht="16">
      <c r="A18" s="40">
        <v>17</v>
      </c>
      <c r="C18" s="40">
        <v>1</v>
      </c>
      <c r="D18" s="41" t="s">
        <v>429</v>
      </c>
      <c r="E18" s="40" t="s">
        <v>465</v>
      </c>
      <c r="F18" s="1"/>
      <c r="G18" s="42" t="s">
        <v>441</v>
      </c>
      <c r="H18" s="2" t="s">
        <v>7</v>
      </c>
      <c r="I18" s="1" t="s">
        <v>44</v>
      </c>
      <c r="J18" s="63">
        <v>1.01E-2</v>
      </c>
      <c r="K18" s="1" t="s">
        <v>487</v>
      </c>
      <c r="L18" s="64">
        <f t="shared" si="7"/>
        <v>6.2728575000000006</v>
      </c>
    </row>
    <row r="19" spans="1:12" ht="16">
      <c r="A19" s="40">
        <v>18</v>
      </c>
      <c r="C19" s="40">
        <v>1</v>
      </c>
      <c r="D19" s="41" t="s">
        <v>429</v>
      </c>
      <c r="E19" s="40" t="s">
        <v>465</v>
      </c>
      <c r="F19" s="1"/>
      <c r="G19" s="42" t="s">
        <v>477</v>
      </c>
      <c r="H19" s="2" t="s">
        <v>7</v>
      </c>
      <c r="I19" s="1" t="s">
        <v>57</v>
      </c>
      <c r="J19" s="63">
        <v>0.60379000000000005</v>
      </c>
      <c r="K19" s="1" t="s">
        <v>487</v>
      </c>
      <c r="L19" s="64">
        <f t="shared" si="7"/>
        <v>374.99887425000009</v>
      </c>
    </row>
    <row r="20" spans="1:12" ht="16">
      <c r="A20" s="40">
        <v>19</v>
      </c>
      <c r="C20" s="40">
        <v>1</v>
      </c>
      <c r="D20" s="41" t="s">
        <v>429</v>
      </c>
      <c r="E20" s="40" t="s">
        <v>465</v>
      </c>
      <c r="F20" s="1"/>
      <c r="G20" s="42" t="s">
        <v>477</v>
      </c>
      <c r="H20" s="2" t="s">
        <v>6</v>
      </c>
      <c r="I20" s="1" t="s">
        <v>429</v>
      </c>
      <c r="J20" s="67">
        <f>SUM(J15:J19)</f>
        <v>1</v>
      </c>
      <c r="K20" s="1" t="s">
        <v>487</v>
      </c>
      <c r="L20" s="64">
        <v>621.07500000000005</v>
      </c>
    </row>
    <row r="21" spans="1:12" ht="16">
      <c r="A21" s="40">
        <v>20</v>
      </c>
      <c r="C21" s="40">
        <v>2</v>
      </c>
      <c r="D21" s="41" t="s">
        <v>443</v>
      </c>
      <c r="E21" s="40" t="s">
        <v>465</v>
      </c>
      <c r="F21" s="1" t="s">
        <v>444</v>
      </c>
      <c r="G21" s="42" t="s">
        <v>445</v>
      </c>
      <c r="H21" s="2" t="s">
        <v>7</v>
      </c>
      <c r="I21" s="1" t="s">
        <v>446</v>
      </c>
      <c r="K21" s="1" t="s">
        <v>487</v>
      </c>
      <c r="L21" s="64">
        <v>0.24</v>
      </c>
    </row>
    <row r="22" spans="1:12" ht="16">
      <c r="A22" s="40">
        <v>21</v>
      </c>
      <c r="C22" s="40">
        <v>2</v>
      </c>
      <c r="D22" s="41" t="s">
        <v>443</v>
      </c>
      <c r="E22" s="40" t="s">
        <v>465</v>
      </c>
      <c r="F22" s="1"/>
      <c r="G22" s="42" t="s">
        <v>445</v>
      </c>
      <c r="H22" s="2" t="s">
        <v>7</v>
      </c>
      <c r="I22" s="1" t="s">
        <v>447</v>
      </c>
      <c r="K22" s="1" t="s">
        <v>487</v>
      </c>
      <c r="L22" s="64">
        <v>0.11</v>
      </c>
    </row>
    <row r="23" spans="1:12" ht="16">
      <c r="A23" s="40">
        <v>22</v>
      </c>
      <c r="C23" s="40">
        <v>2</v>
      </c>
      <c r="D23" s="41" t="s">
        <v>443</v>
      </c>
      <c r="E23" s="40" t="s">
        <v>465</v>
      </c>
      <c r="F23" s="1"/>
      <c r="G23" s="42" t="s">
        <v>445</v>
      </c>
      <c r="H23" s="2" t="s">
        <v>7</v>
      </c>
      <c r="I23" s="1" t="s">
        <v>448</v>
      </c>
      <c r="K23" s="1" t="s">
        <v>487</v>
      </c>
      <c r="L23" s="64">
        <v>1E-3</v>
      </c>
    </row>
    <row r="24" spans="1:12" ht="16">
      <c r="A24" s="40">
        <v>23</v>
      </c>
      <c r="C24" s="40">
        <v>2</v>
      </c>
      <c r="D24" s="41" t="s">
        <v>443</v>
      </c>
      <c r="E24" s="40" t="s">
        <v>465</v>
      </c>
      <c r="F24" s="1"/>
      <c r="G24" s="42" t="s">
        <v>445</v>
      </c>
      <c r="H24" s="2" t="s">
        <v>7</v>
      </c>
      <c r="I24" s="1" t="s">
        <v>449</v>
      </c>
      <c r="K24" s="1" t="s">
        <v>487</v>
      </c>
      <c r="L24" s="64">
        <v>2E-3</v>
      </c>
    </row>
    <row r="25" spans="1:12" ht="16">
      <c r="A25" s="40">
        <v>24</v>
      </c>
      <c r="C25" s="40">
        <v>2</v>
      </c>
      <c r="D25" s="41" t="s">
        <v>443</v>
      </c>
      <c r="E25" s="40" t="s">
        <v>465</v>
      </c>
      <c r="F25" s="1"/>
      <c r="G25" s="42" t="s">
        <v>445</v>
      </c>
      <c r="H25" s="2" t="s">
        <v>7</v>
      </c>
      <c r="I25" s="1" t="s">
        <v>49</v>
      </c>
      <c r="K25" s="1" t="s">
        <v>487</v>
      </c>
      <c r="L25" s="64">
        <v>1E-4</v>
      </c>
    </row>
    <row r="26" spans="1:12" ht="16">
      <c r="A26" s="40">
        <v>25</v>
      </c>
      <c r="C26" s="40">
        <v>2</v>
      </c>
      <c r="D26" s="41" t="s">
        <v>443</v>
      </c>
      <c r="E26" s="40" t="s">
        <v>465</v>
      </c>
      <c r="F26" s="1" t="s">
        <v>450</v>
      </c>
      <c r="G26" s="42" t="s">
        <v>445</v>
      </c>
      <c r="H26" s="2" t="s">
        <v>7</v>
      </c>
      <c r="I26" s="1" t="s">
        <v>451</v>
      </c>
      <c r="K26" s="1" t="s">
        <v>487</v>
      </c>
      <c r="L26" s="64">
        <v>0.13</v>
      </c>
    </row>
    <row r="27" spans="1:12" ht="16">
      <c r="A27" s="40">
        <v>26</v>
      </c>
      <c r="C27" s="40">
        <v>2</v>
      </c>
      <c r="D27" s="41" t="s">
        <v>443</v>
      </c>
      <c r="E27" s="40" t="s">
        <v>465</v>
      </c>
      <c r="F27" s="1"/>
      <c r="G27" s="42" t="s">
        <v>445</v>
      </c>
      <c r="H27" s="2" t="s">
        <v>7</v>
      </c>
      <c r="I27" s="1" t="s">
        <v>41</v>
      </c>
      <c r="K27" s="1" t="s">
        <v>487</v>
      </c>
      <c r="L27" s="64">
        <v>5.33E-2</v>
      </c>
    </row>
    <row r="28" spans="1:12" ht="16">
      <c r="A28" s="40">
        <v>27</v>
      </c>
      <c r="C28" s="40">
        <v>2</v>
      </c>
      <c r="D28" s="41" t="s">
        <v>443</v>
      </c>
      <c r="E28" s="40" t="s">
        <v>465</v>
      </c>
      <c r="F28" s="1"/>
      <c r="G28" s="42" t="s">
        <v>445</v>
      </c>
      <c r="H28" s="2" t="s">
        <v>6</v>
      </c>
      <c r="I28" s="1" t="s">
        <v>452</v>
      </c>
      <c r="K28" s="1" t="s">
        <v>487</v>
      </c>
      <c r="L28" s="64">
        <v>0.49</v>
      </c>
    </row>
    <row r="29" spans="1:12" ht="16">
      <c r="A29" s="40">
        <v>28</v>
      </c>
      <c r="C29" s="40">
        <v>2</v>
      </c>
      <c r="D29" s="41" t="s">
        <v>443</v>
      </c>
      <c r="E29" s="40" t="s">
        <v>465</v>
      </c>
      <c r="F29" s="1"/>
      <c r="G29" s="42" t="s">
        <v>453</v>
      </c>
      <c r="H29" s="2" t="s">
        <v>7</v>
      </c>
      <c r="I29" s="1" t="s">
        <v>454</v>
      </c>
      <c r="K29" s="1" t="s">
        <v>487</v>
      </c>
      <c r="L29" s="64">
        <v>23.18</v>
      </c>
    </row>
    <row r="30" spans="1:12" ht="16">
      <c r="A30" s="40">
        <v>29</v>
      </c>
      <c r="C30" s="40">
        <v>2</v>
      </c>
      <c r="D30" s="41" t="s">
        <v>443</v>
      </c>
      <c r="E30" s="40" t="s">
        <v>465</v>
      </c>
      <c r="F30" s="1"/>
      <c r="G30" s="42" t="s">
        <v>453</v>
      </c>
      <c r="H30" s="2" t="s">
        <v>7</v>
      </c>
      <c r="I30" s="1" t="s">
        <v>457</v>
      </c>
      <c r="K30" s="1" t="s">
        <v>487</v>
      </c>
      <c r="L30" s="64">
        <v>4.66</v>
      </c>
    </row>
    <row r="31" spans="1:12" ht="16">
      <c r="A31" s="40">
        <v>30</v>
      </c>
      <c r="C31" s="40">
        <v>2</v>
      </c>
      <c r="D31" s="41" t="s">
        <v>443</v>
      </c>
      <c r="E31" s="40" t="s">
        <v>465</v>
      </c>
      <c r="F31" s="1"/>
      <c r="G31" s="42" t="s">
        <v>453</v>
      </c>
      <c r="H31" s="2" t="s">
        <v>7</v>
      </c>
      <c r="I31" s="1" t="s">
        <v>463</v>
      </c>
      <c r="K31" s="1" t="s">
        <v>487</v>
      </c>
      <c r="L31" s="64">
        <v>0.89</v>
      </c>
    </row>
    <row r="32" spans="1:12" ht="16">
      <c r="A32" s="40">
        <v>31</v>
      </c>
      <c r="C32" s="40">
        <v>2</v>
      </c>
      <c r="D32" s="41" t="s">
        <v>443</v>
      </c>
      <c r="E32" s="40" t="s">
        <v>465</v>
      </c>
      <c r="F32" s="1"/>
      <c r="G32" s="42" t="s">
        <v>453</v>
      </c>
      <c r="H32" s="2" t="s">
        <v>7</v>
      </c>
      <c r="I32" s="1" t="s">
        <v>452</v>
      </c>
      <c r="K32" s="1" t="s">
        <v>487</v>
      </c>
      <c r="L32" s="64">
        <v>0.49</v>
      </c>
    </row>
    <row r="33" spans="1:12" ht="16">
      <c r="A33" s="40">
        <v>32</v>
      </c>
      <c r="C33" s="40">
        <v>2</v>
      </c>
      <c r="D33" s="41" t="s">
        <v>443</v>
      </c>
      <c r="E33" s="40" t="s">
        <v>465</v>
      </c>
      <c r="F33" s="1"/>
      <c r="G33" s="42" t="s">
        <v>453</v>
      </c>
      <c r="H33" s="2" t="s">
        <v>7</v>
      </c>
      <c r="I33" s="1" t="s">
        <v>466</v>
      </c>
      <c r="K33" s="1" t="s">
        <v>487</v>
      </c>
      <c r="L33" s="64">
        <v>42.98</v>
      </c>
    </row>
    <row r="34" spans="1:12" ht="16">
      <c r="A34" s="40">
        <v>33</v>
      </c>
      <c r="C34" s="40">
        <v>2</v>
      </c>
      <c r="D34" s="41" t="s">
        <v>443</v>
      </c>
      <c r="E34" s="40" t="s">
        <v>465</v>
      </c>
      <c r="F34" s="1"/>
      <c r="G34" s="42" t="s">
        <v>476</v>
      </c>
      <c r="H34" s="2" t="s">
        <v>7</v>
      </c>
      <c r="I34" s="1" t="s">
        <v>57</v>
      </c>
      <c r="K34" s="1" t="s">
        <v>487</v>
      </c>
      <c r="L34" s="64">
        <v>15.35</v>
      </c>
    </row>
    <row r="35" spans="1:12" ht="16">
      <c r="A35" s="40">
        <v>34</v>
      </c>
      <c r="C35" s="40">
        <v>2</v>
      </c>
      <c r="D35" s="41" t="s">
        <v>443</v>
      </c>
      <c r="E35" s="40" t="s">
        <v>465</v>
      </c>
      <c r="F35" s="1"/>
      <c r="G35" s="42" t="s">
        <v>476</v>
      </c>
      <c r="H35" s="2" t="s">
        <v>6</v>
      </c>
      <c r="I35" s="41" t="s">
        <v>443</v>
      </c>
      <c r="J35" s="61"/>
      <c r="K35" s="41" t="s">
        <v>487</v>
      </c>
      <c r="L35" s="64">
        <v>88.8</v>
      </c>
    </row>
    <row r="36" spans="1:12" ht="16">
      <c r="A36" s="40">
        <v>35</v>
      </c>
      <c r="C36" s="40">
        <v>3</v>
      </c>
      <c r="D36" s="41" t="s">
        <v>470</v>
      </c>
      <c r="E36" s="40" t="s">
        <v>465</v>
      </c>
      <c r="F36" s="1" t="s">
        <v>471</v>
      </c>
      <c r="G36" s="42" t="s">
        <v>445</v>
      </c>
      <c r="H36" s="2" t="s">
        <v>7</v>
      </c>
      <c r="I36" s="1" t="s">
        <v>446</v>
      </c>
      <c r="K36" s="1" t="s">
        <v>487</v>
      </c>
      <c r="L36" s="64">
        <v>0.24</v>
      </c>
    </row>
    <row r="37" spans="1:12" ht="16">
      <c r="A37" s="40">
        <v>36</v>
      </c>
      <c r="C37" s="40">
        <v>3</v>
      </c>
      <c r="D37" s="41" t="s">
        <v>470</v>
      </c>
      <c r="E37" s="40" t="s">
        <v>465</v>
      </c>
      <c r="F37" s="1"/>
      <c r="G37" s="42" t="s">
        <v>445</v>
      </c>
      <c r="H37" s="2" t="s">
        <v>7</v>
      </c>
      <c r="I37" s="1" t="s">
        <v>447</v>
      </c>
      <c r="K37" s="1" t="s">
        <v>487</v>
      </c>
      <c r="L37" s="64">
        <v>0.11</v>
      </c>
    </row>
    <row r="38" spans="1:12" ht="16">
      <c r="A38" s="40">
        <v>37</v>
      </c>
      <c r="C38" s="40">
        <v>3</v>
      </c>
      <c r="D38" s="41" t="s">
        <v>470</v>
      </c>
      <c r="E38" s="40" t="s">
        <v>465</v>
      </c>
      <c r="F38" s="1"/>
      <c r="G38" s="42" t="s">
        <v>445</v>
      </c>
      <c r="H38" s="2" t="s">
        <v>7</v>
      </c>
      <c r="I38" s="1" t="s">
        <v>448</v>
      </c>
      <c r="K38" s="1" t="s">
        <v>487</v>
      </c>
      <c r="L38" s="64">
        <v>1E-3</v>
      </c>
    </row>
    <row r="39" spans="1:12" ht="16">
      <c r="A39" s="40">
        <v>38</v>
      </c>
      <c r="C39" s="40">
        <v>3</v>
      </c>
      <c r="D39" s="41" t="s">
        <v>470</v>
      </c>
      <c r="E39" s="40" t="s">
        <v>465</v>
      </c>
      <c r="F39" s="1"/>
      <c r="G39" s="42" t="s">
        <v>445</v>
      </c>
      <c r="H39" s="2" t="s">
        <v>7</v>
      </c>
      <c r="I39" s="1" t="s">
        <v>449</v>
      </c>
      <c r="K39" s="1" t="s">
        <v>487</v>
      </c>
      <c r="L39" s="64">
        <v>2E-3</v>
      </c>
    </row>
    <row r="40" spans="1:12" ht="16">
      <c r="A40" s="40">
        <v>39</v>
      </c>
      <c r="C40" s="40">
        <v>3</v>
      </c>
      <c r="D40" s="41" t="s">
        <v>470</v>
      </c>
      <c r="E40" s="40" t="s">
        <v>465</v>
      </c>
      <c r="F40" s="1"/>
      <c r="G40" s="42" t="s">
        <v>445</v>
      </c>
      <c r="H40" s="2" t="s">
        <v>7</v>
      </c>
      <c r="I40" s="1" t="s">
        <v>49</v>
      </c>
      <c r="K40" s="1" t="s">
        <v>487</v>
      </c>
      <c r="L40" s="64">
        <v>1E-4</v>
      </c>
    </row>
    <row r="41" spans="1:12" ht="16">
      <c r="A41" s="40">
        <v>40</v>
      </c>
      <c r="C41" s="40">
        <v>3</v>
      </c>
      <c r="D41" s="41" t="s">
        <v>470</v>
      </c>
      <c r="E41" s="40" t="s">
        <v>465</v>
      </c>
      <c r="F41" s="1"/>
      <c r="G41" s="42" t="s">
        <v>445</v>
      </c>
      <c r="H41" s="2" t="s">
        <v>7</v>
      </c>
      <c r="I41" s="1" t="s">
        <v>41</v>
      </c>
      <c r="K41" s="1" t="s">
        <v>487</v>
      </c>
      <c r="L41" s="64">
        <v>5.33E-2</v>
      </c>
    </row>
    <row r="42" spans="1:12" ht="16">
      <c r="A42" s="40">
        <v>41</v>
      </c>
      <c r="C42" s="40">
        <v>3</v>
      </c>
      <c r="D42" s="41" t="s">
        <v>470</v>
      </c>
      <c r="E42" s="40" t="s">
        <v>465</v>
      </c>
      <c r="F42" s="1"/>
      <c r="G42" s="42" t="s">
        <v>445</v>
      </c>
      <c r="H42" s="2" t="s">
        <v>6</v>
      </c>
      <c r="I42" s="1" t="s">
        <v>473</v>
      </c>
      <c r="K42" s="1" t="s">
        <v>487</v>
      </c>
      <c r="L42" s="64">
        <v>0.35310000000000002</v>
      </c>
    </row>
    <row r="43" spans="1:12" ht="16">
      <c r="A43" s="40">
        <v>42</v>
      </c>
      <c r="C43" s="40">
        <v>3</v>
      </c>
      <c r="D43" s="41" t="s">
        <v>470</v>
      </c>
      <c r="E43" s="40" t="s">
        <v>465</v>
      </c>
      <c r="F43" s="1"/>
      <c r="G43" s="42" t="s">
        <v>453</v>
      </c>
      <c r="H43" s="2" t="s">
        <v>7</v>
      </c>
      <c r="I43" s="1" t="s">
        <v>454</v>
      </c>
      <c r="K43" s="1" t="s">
        <v>487</v>
      </c>
      <c r="L43" s="64">
        <v>23.18</v>
      </c>
    </row>
    <row r="44" spans="1:12" ht="16">
      <c r="A44" s="40">
        <v>43</v>
      </c>
      <c r="C44" s="40">
        <v>3</v>
      </c>
      <c r="D44" s="41" t="s">
        <v>470</v>
      </c>
      <c r="E44" s="40" t="s">
        <v>465</v>
      </c>
      <c r="F44" s="1"/>
      <c r="G44" s="42" t="s">
        <v>453</v>
      </c>
      <c r="H44" s="2" t="s">
        <v>7</v>
      </c>
      <c r="I44" s="1" t="s">
        <v>474</v>
      </c>
      <c r="K44" s="1" t="s">
        <v>487</v>
      </c>
      <c r="L44" s="64">
        <v>4.66</v>
      </c>
    </row>
    <row r="45" spans="1:12" ht="16">
      <c r="A45" s="40">
        <v>44</v>
      </c>
      <c r="C45" s="40">
        <v>3</v>
      </c>
      <c r="D45" s="41" t="s">
        <v>470</v>
      </c>
      <c r="E45" s="40" t="s">
        <v>465</v>
      </c>
      <c r="F45" s="1"/>
      <c r="G45" s="42" t="s">
        <v>453</v>
      </c>
      <c r="H45" s="2" t="s">
        <v>7</v>
      </c>
      <c r="I45" s="1" t="s">
        <v>463</v>
      </c>
      <c r="K45" s="1" t="s">
        <v>487</v>
      </c>
      <c r="L45" s="64">
        <v>0.89</v>
      </c>
    </row>
    <row r="46" spans="1:12" ht="16">
      <c r="A46" s="40">
        <v>45</v>
      </c>
      <c r="C46" s="40">
        <v>3</v>
      </c>
      <c r="D46" s="41" t="s">
        <v>470</v>
      </c>
      <c r="E46" s="40" t="s">
        <v>465</v>
      </c>
      <c r="F46" s="1"/>
      <c r="G46" s="42" t="s">
        <v>453</v>
      </c>
      <c r="H46" s="2" t="s">
        <v>7</v>
      </c>
      <c r="I46" s="1" t="s">
        <v>475</v>
      </c>
      <c r="K46" s="1" t="s">
        <v>487</v>
      </c>
      <c r="L46" s="64">
        <v>1.33</v>
      </c>
    </row>
    <row r="47" spans="1:12" ht="16">
      <c r="A47" s="40">
        <v>46</v>
      </c>
      <c r="C47" s="40">
        <v>3</v>
      </c>
      <c r="D47" s="41" t="s">
        <v>470</v>
      </c>
      <c r="E47" s="40" t="s">
        <v>465</v>
      </c>
      <c r="F47" s="1"/>
      <c r="G47" s="42" t="s">
        <v>453</v>
      </c>
      <c r="H47" s="2" t="s">
        <v>7</v>
      </c>
      <c r="I47" s="1" t="s">
        <v>466</v>
      </c>
      <c r="K47" s="1" t="s">
        <v>487</v>
      </c>
      <c r="L47" s="64">
        <v>42.98</v>
      </c>
    </row>
    <row r="48" spans="1:12" ht="16">
      <c r="A48" s="40">
        <v>47</v>
      </c>
      <c r="C48" s="40">
        <v>3</v>
      </c>
      <c r="D48" s="41" t="s">
        <v>470</v>
      </c>
      <c r="E48" s="40" t="s">
        <v>465</v>
      </c>
      <c r="F48" s="1"/>
      <c r="G48" s="42" t="s">
        <v>453</v>
      </c>
      <c r="H48" s="2" t="s">
        <v>7</v>
      </c>
      <c r="I48" s="1" t="s">
        <v>473</v>
      </c>
      <c r="K48" s="1" t="s">
        <v>487</v>
      </c>
      <c r="L48" s="64">
        <v>0.35310000000000002</v>
      </c>
    </row>
    <row r="49" spans="1:12" ht="16">
      <c r="A49" s="40">
        <v>48</v>
      </c>
      <c r="C49" s="40">
        <v>3</v>
      </c>
      <c r="D49" s="41" t="s">
        <v>470</v>
      </c>
      <c r="E49" s="40" t="s">
        <v>465</v>
      </c>
      <c r="F49" s="1"/>
      <c r="G49" s="42" t="s">
        <v>476</v>
      </c>
      <c r="H49" s="2" t="s">
        <v>7</v>
      </c>
      <c r="I49" s="1" t="s">
        <v>57</v>
      </c>
      <c r="K49" s="1" t="s">
        <v>487</v>
      </c>
      <c r="L49" s="64">
        <v>15.35</v>
      </c>
    </row>
    <row r="50" spans="1:12" ht="16">
      <c r="A50" s="40">
        <v>49</v>
      </c>
      <c r="C50" s="40">
        <v>3</v>
      </c>
      <c r="D50" s="41" t="s">
        <v>470</v>
      </c>
      <c r="E50" s="40" t="s">
        <v>465</v>
      </c>
      <c r="F50" s="1"/>
      <c r="G50" s="42" t="s">
        <v>476</v>
      </c>
      <c r="H50" s="2" t="s">
        <v>6</v>
      </c>
      <c r="I50" s="1" t="s">
        <v>470</v>
      </c>
      <c r="K50" s="1" t="s">
        <v>487</v>
      </c>
      <c r="L50" s="64">
        <v>88.8</v>
      </c>
    </row>
    <row r="51" spans="1:12" ht="16">
      <c r="A51" s="40">
        <v>50</v>
      </c>
      <c r="C51" s="40">
        <v>4</v>
      </c>
      <c r="D51" s="41" t="s">
        <v>38</v>
      </c>
      <c r="E51" s="40" t="s">
        <v>465</v>
      </c>
      <c r="F51" s="1"/>
      <c r="G51" s="42" t="s">
        <v>478</v>
      </c>
      <c r="H51" s="2" t="s">
        <v>7</v>
      </c>
      <c r="I51" s="1" t="s">
        <v>23</v>
      </c>
      <c r="K51" s="1" t="s">
        <v>488</v>
      </c>
      <c r="L51" s="64">
        <v>1</v>
      </c>
    </row>
    <row r="52" spans="1:12" ht="16">
      <c r="A52" s="40">
        <v>51</v>
      </c>
      <c r="C52" s="40">
        <v>4</v>
      </c>
      <c r="D52" s="41" t="s">
        <v>38</v>
      </c>
      <c r="E52" s="40" t="s">
        <v>465</v>
      </c>
      <c r="F52" s="1"/>
      <c r="G52" s="42" t="s">
        <v>478</v>
      </c>
      <c r="H52" s="2" t="s">
        <v>7</v>
      </c>
      <c r="I52" s="1" t="s">
        <v>19</v>
      </c>
      <c r="K52" s="1" t="s">
        <v>488</v>
      </c>
      <c r="L52" s="64">
        <v>1</v>
      </c>
    </row>
    <row r="53" spans="1:12" ht="16">
      <c r="A53" s="40">
        <v>52</v>
      </c>
      <c r="C53" s="40">
        <v>4</v>
      </c>
      <c r="D53" s="41" t="s">
        <v>38</v>
      </c>
      <c r="E53" s="40" t="s">
        <v>465</v>
      </c>
      <c r="F53" s="1"/>
      <c r="G53" s="42" t="s">
        <v>478</v>
      </c>
      <c r="H53" s="2" t="s">
        <v>7</v>
      </c>
      <c r="I53" s="1" t="s">
        <v>429</v>
      </c>
      <c r="K53" s="1" t="s">
        <v>487</v>
      </c>
      <c r="L53" s="64">
        <v>0.5</v>
      </c>
    </row>
    <row r="54" spans="1:12" ht="16">
      <c r="A54" s="40">
        <v>53</v>
      </c>
      <c r="C54" s="40">
        <v>4</v>
      </c>
      <c r="D54" s="41" t="s">
        <v>38</v>
      </c>
      <c r="E54" s="40" t="s">
        <v>465</v>
      </c>
      <c r="F54" s="2"/>
      <c r="G54" s="42" t="s">
        <v>478</v>
      </c>
      <c r="H54" s="2" t="s">
        <v>6</v>
      </c>
      <c r="I54" s="41" t="s">
        <v>38</v>
      </c>
      <c r="J54" s="61"/>
      <c r="K54" s="41" t="s">
        <v>488</v>
      </c>
      <c r="L54" s="64">
        <v>1</v>
      </c>
    </row>
    <row r="55" spans="1:12" ht="16.5" customHeight="1">
      <c r="A55" s="40">
        <v>54</v>
      </c>
      <c r="C55" s="40">
        <v>5</v>
      </c>
      <c r="D55" s="41" t="s">
        <v>37</v>
      </c>
      <c r="E55" s="40" t="s">
        <v>465</v>
      </c>
      <c r="F55" s="2"/>
      <c r="G55" s="42" t="s">
        <v>478</v>
      </c>
      <c r="H55" s="2" t="s">
        <v>7</v>
      </c>
      <c r="I55" s="1" t="s">
        <v>259</v>
      </c>
      <c r="K55" s="1" t="s">
        <v>488</v>
      </c>
      <c r="L55" s="64">
        <v>1</v>
      </c>
    </row>
    <row r="56" spans="1:12" ht="16">
      <c r="A56" s="40">
        <v>55</v>
      </c>
      <c r="C56" s="40">
        <v>5</v>
      </c>
      <c r="D56" s="41" t="s">
        <v>37</v>
      </c>
      <c r="E56" s="40" t="s">
        <v>465</v>
      </c>
      <c r="F56" s="2"/>
      <c r="G56" s="42" t="s">
        <v>478</v>
      </c>
      <c r="H56" s="2" t="s">
        <v>7</v>
      </c>
      <c r="I56" s="1" t="s">
        <v>479</v>
      </c>
      <c r="K56" s="1" t="s">
        <v>488</v>
      </c>
      <c r="L56" s="64">
        <v>1</v>
      </c>
    </row>
    <row r="57" spans="1:12" ht="16">
      <c r="A57" s="40">
        <v>56</v>
      </c>
      <c r="C57" s="40">
        <v>5</v>
      </c>
      <c r="D57" s="41" t="s">
        <v>37</v>
      </c>
      <c r="E57" s="40" t="s">
        <v>465</v>
      </c>
      <c r="F57" s="2"/>
      <c r="G57" s="42" t="s">
        <v>478</v>
      </c>
      <c r="H57" s="2" t="s">
        <v>7</v>
      </c>
      <c r="I57" s="1" t="s">
        <v>429</v>
      </c>
      <c r="K57" s="1" t="s">
        <v>487</v>
      </c>
      <c r="L57" s="64">
        <v>6.25E-2</v>
      </c>
    </row>
    <row r="58" spans="1:12" ht="16">
      <c r="A58" s="40">
        <v>57</v>
      </c>
      <c r="C58" s="40">
        <v>5</v>
      </c>
      <c r="D58" s="41" t="s">
        <v>37</v>
      </c>
      <c r="E58" s="40" t="s">
        <v>465</v>
      </c>
      <c r="F58" s="2"/>
      <c r="G58" s="42" t="s">
        <v>478</v>
      </c>
      <c r="H58" s="2" t="s">
        <v>6</v>
      </c>
      <c r="I58" s="41" t="s">
        <v>37</v>
      </c>
      <c r="J58" s="61"/>
      <c r="K58" s="41" t="s">
        <v>488</v>
      </c>
      <c r="L58" s="64">
        <v>1</v>
      </c>
    </row>
    <row r="59" spans="1:12" ht="16">
      <c r="A59" s="40">
        <v>58</v>
      </c>
      <c r="C59" s="40">
        <v>6</v>
      </c>
      <c r="D59" s="41" t="s">
        <v>26</v>
      </c>
      <c r="E59" s="40" t="s">
        <v>465</v>
      </c>
      <c r="F59" s="2"/>
      <c r="G59" s="42" t="s">
        <v>480</v>
      </c>
      <c r="H59" s="2" t="s">
        <v>7</v>
      </c>
      <c r="I59" s="1" t="s">
        <v>23</v>
      </c>
      <c r="K59" s="1" t="s">
        <v>488</v>
      </c>
      <c r="L59" s="64">
        <v>1</v>
      </c>
    </row>
    <row r="60" spans="1:12" ht="16">
      <c r="A60" s="40">
        <v>59</v>
      </c>
      <c r="C60" s="40">
        <v>6</v>
      </c>
      <c r="D60" s="41" t="s">
        <v>26</v>
      </c>
      <c r="E60" s="40" t="s">
        <v>465</v>
      </c>
      <c r="F60" s="2"/>
      <c r="G60" s="42" t="s">
        <v>480</v>
      </c>
      <c r="H60" s="2" t="s">
        <v>7</v>
      </c>
      <c r="I60" s="1" t="s">
        <v>20</v>
      </c>
      <c r="K60" s="1" t="s">
        <v>488</v>
      </c>
      <c r="L60" s="64">
        <v>1</v>
      </c>
    </row>
    <row r="61" spans="1:12" ht="16">
      <c r="A61" s="40">
        <v>60</v>
      </c>
      <c r="C61" s="40">
        <v>6</v>
      </c>
      <c r="D61" s="41" t="s">
        <v>26</v>
      </c>
      <c r="E61" s="40" t="s">
        <v>465</v>
      </c>
      <c r="F61" s="2"/>
      <c r="G61" s="42" t="s">
        <v>480</v>
      </c>
      <c r="H61" s="2" t="s">
        <v>7</v>
      </c>
      <c r="I61" s="1" t="s">
        <v>470</v>
      </c>
      <c r="K61" s="1" t="s">
        <v>487</v>
      </c>
      <c r="L61" s="64">
        <v>0.5</v>
      </c>
    </row>
    <row r="62" spans="1:12" ht="16">
      <c r="A62" s="40">
        <v>61</v>
      </c>
      <c r="C62" s="40">
        <v>6</v>
      </c>
      <c r="D62" s="41" t="s">
        <v>26</v>
      </c>
      <c r="E62" s="40" t="s">
        <v>465</v>
      </c>
      <c r="F62" s="2"/>
      <c r="G62" s="42" t="s">
        <v>480</v>
      </c>
      <c r="H62" s="2" t="s">
        <v>6</v>
      </c>
      <c r="I62" s="41" t="s">
        <v>26</v>
      </c>
      <c r="J62" s="61"/>
      <c r="K62" s="41" t="s">
        <v>488</v>
      </c>
      <c r="L62" s="64">
        <v>1</v>
      </c>
    </row>
    <row r="63" spans="1:12" ht="16">
      <c r="A63" s="40">
        <v>62</v>
      </c>
      <c r="C63" s="40">
        <v>7</v>
      </c>
      <c r="D63" s="41" t="s">
        <v>27</v>
      </c>
      <c r="E63" s="40" t="s">
        <v>465</v>
      </c>
      <c r="F63" s="2"/>
      <c r="G63" s="42" t="s">
        <v>480</v>
      </c>
      <c r="H63" s="2" t="s">
        <v>7</v>
      </c>
      <c r="I63" s="1" t="s">
        <v>259</v>
      </c>
      <c r="K63" s="1" t="s">
        <v>488</v>
      </c>
      <c r="L63" s="64">
        <v>1</v>
      </c>
    </row>
    <row r="64" spans="1:12" ht="16">
      <c r="A64" s="40">
        <v>63</v>
      </c>
      <c r="C64" s="40">
        <v>7</v>
      </c>
      <c r="D64" s="41" t="s">
        <v>27</v>
      </c>
      <c r="E64" s="40" t="s">
        <v>465</v>
      </c>
      <c r="F64" s="2"/>
      <c r="G64" s="42" t="s">
        <v>480</v>
      </c>
      <c r="H64" s="2" t="s">
        <v>7</v>
      </c>
      <c r="I64" s="1" t="s">
        <v>22</v>
      </c>
      <c r="K64" s="1" t="s">
        <v>488</v>
      </c>
      <c r="L64" s="64">
        <v>1</v>
      </c>
    </row>
    <row r="65" spans="1:12" ht="16">
      <c r="A65" s="40">
        <v>64</v>
      </c>
      <c r="C65" s="40">
        <v>7</v>
      </c>
      <c r="D65" s="41" t="s">
        <v>27</v>
      </c>
      <c r="E65" s="40" t="s">
        <v>465</v>
      </c>
      <c r="F65" s="2"/>
      <c r="G65" s="42" t="s">
        <v>480</v>
      </c>
      <c r="H65" s="2" t="s">
        <v>7</v>
      </c>
      <c r="I65" s="1" t="s">
        <v>470</v>
      </c>
      <c r="K65" s="1" t="s">
        <v>487</v>
      </c>
      <c r="L65" s="64">
        <v>6.25E-2</v>
      </c>
    </row>
    <row r="66" spans="1:12" ht="16">
      <c r="A66" s="40">
        <v>65</v>
      </c>
      <c r="C66" s="40">
        <v>7</v>
      </c>
      <c r="D66" s="41" t="s">
        <v>27</v>
      </c>
      <c r="E66" s="40" t="s">
        <v>465</v>
      </c>
      <c r="F66" s="2"/>
      <c r="G66" s="42" t="s">
        <v>480</v>
      </c>
      <c r="H66" s="2" t="s">
        <v>6</v>
      </c>
      <c r="I66" s="41" t="s">
        <v>27</v>
      </c>
      <c r="J66" s="61"/>
      <c r="K66" s="41" t="s">
        <v>488</v>
      </c>
      <c r="L66" s="64">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4C614-6697-44D3-AA8E-D34AB8735A73}">
  <sheetPr codeName="IngredientsPalette"/>
  <dimension ref="A1"/>
  <sheetViews>
    <sheetView workbookViewId="0">
      <selection activeCell="I28" sqref="I28"/>
    </sheetView>
  </sheetViews>
  <sheetFormatPr defaultRowHeight="16"/>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DA2F8-656E-42D8-98D2-66D52A5DA293}">
  <sheetPr codeName="SavedLists"/>
  <dimension ref="A1"/>
  <sheetViews>
    <sheetView workbookViewId="0">
      <selection activeCell="I28" sqref="I28"/>
    </sheetView>
  </sheetViews>
  <sheetFormatPr defaultRowHeight="16"/>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7BA42-B774-47A9-B148-17BB7B24D5B1}">
  <sheetPr codeName="Substitutions"/>
  <dimension ref="A1"/>
  <sheetViews>
    <sheetView workbookViewId="0">
      <selection activeCell="I28" sqref="I28"/>
    </sheetView>
  </sheetViews>
  <sheetFormatPr defaultRowHeight="16"/>
  <cols>
    <col min="1" max="1" width="10.08203125" customWidth="1"/>
  </cols>
  <sheetData>
    <row r="1" spans="1:1">
      <c r="A1" t="s">
        <v>499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252BF-3553-433F-B29C-47863D265E1E}">
  <sheetPr codeName="PredictionLog"/>
  <dimension ref="A1"/>
  <sheetViews>
    <sheetView workbookViewId="0">
      <selection activeCell="I28" sqref="I28"/>
    </sheetView>
  </sheetViews>
  <sheetFormatPr defaultRowHeight="16"/>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9A38-27E7-4096-B618-50F5B468048A}">
  <sheetPr codeName="InventoryLog">
    <pageSetUpPr autoPageBreaks="0"/>
  </sheetPr>
  <dimension ref="A1:H176"/>
  <sheetViews>
    <sheetView workbookViewId="0">
      <selection activeCell="I28" sqref="I28"/>
    </sheetView>
  </sheetViews>
  <sheetFormatPr defaultColWidth="9" defaultRowHeight="16"/>
  <cols>
    <col min="1" max="1" width="45.83203125" style="1" bestFit="1" customWidth="1"/>
    <col min="2" max="2" width="12.83203125" style="1" customWidth="1"/>
    <col min="3" max="3" width="29.33203125" style="1" customWidth="1"/>
    <col min="4" max="4" width="13.83203125" style="1" bestFit="1" customWidth="1"/>
    <col min="5" max="5" width="25.75" style="1" customWidth="1"/>
    <col min="6" max="6" width="20.25" style="22" bestFit="1" customWidth="1"/>
    <col min="7" max="7" width="16.75" style="22" bestFit="1" customWidth="1"/>
    <col min="8" max="8" width="26.25" style="1" customWidth="1"/>
    <col min="9" max="16384" width="9" style="1"/>
  </cols>
  <sheetData>
    <row r="1" spans="1:8">
      <c r="A1" s="1" t="s">
        <v>107</v>
      </c>
      <c r="B1" s="1" t="s">
        <v>108</v>
      </c>
      <c r="C1" s="1" t="s">
        <v>109</v>
      </c>
      <c r="D1" s="1" t="s">
        <v>106</v>
      </c>
      <c r="E1" s="1" t="s">
        <v>110</v>
      </c>
      <c r="F1" s="22" t="s">
        <v>111</v>
      </c>
      <c r="G1" s="22" t="s">
        <v>112</v>
      </c>
      <c r="H1" s="1" t="s">
        <v>113</v>
      </c>
    </row>
    <row r="2" spans="1:8">
      <c r="A2" s="1" t="s">
        <v>130</v>
      </c>
      <c r="B2" s="1" t="s">
        <v>18</v>
      </c>
      <c r="C2" s="1" t="s">
        <v>127</v>
      </c>
      <c r="D2" s="1" t="s">
        <v>93</v>
      </c>
      <c r="E2" s="1" t="s">
        <v>15</v>
      </c>
      <c r="F2" s="22">
        <v>-4</v>
      </c>
      <c r="G2" s="22">
        <v>301</v>
      </c>
      <c r="H2" s="21">
        <v>45702.026006944441</v>
      </c>
    </row>
    <row r="3" spans="1:8">
      <c r="A3" s="1" t="s">
        <v>129</v>
      </c>
      <c r="B3" s="1" t="s">
        <v>18</v>
      </c>
      <c r="C3" s="1" t="s">
        <v>127</v>
      </c>
      <c r="D3" s="1" t="s">
        <v>92</v>
      </c>
      <c r="E3" s="1" t="s">
        <v>14</v>
      </c>
      <c r="F3" s="22">
        <v>4</v>
      </c>
      <c r="G3" s="22">
        <v>309</v>
      </c>
      <c r="H3" s="21">
        <v>45702.026006944441</v>
      </c>
    </row>
    <row r="4" spans="1:8">
      <c r="A4" s="1" t="s">
        <v>128</v>
      </c>
      <c r="B4" s="1" t="s">
        <v>18</v>
      </c>
      <c r="C4" s="1" t="s">
        <v>127</v>
      </c>
      <c r="D4" s="1" t="s">
        <v>91</v>
      </c>
      <c r="E4" s="1" t="s">
        <v>11</v>
      </c>
      <c r="F4" s="22">
        <v>4</v>
      </c>
      <c r="G4" s="22">
        <v>309</v>
      </c>
      <c r="H4" s="21">
        <v>45702.026006944441</v>
      </c>
    </row>
    <row r="5" spans="1:8">
      <c r="A5" s="1" t="s">
        <v>171</v>
      </c>
      <c r="B5" s="1" t="s">
        <v>172</v>
      </c>
      <c r="C5" s="1" t="s">
        <v>127</v>
      </c>
      <c r="D5" s="1" t="s">
        <v>99</v>
      </c>
      <c r="E5" s="1" t="s">
        <v>19</v>
      </c>
      <c r="F5" s="22">
        <v>-1000</v>
      </c>
      <c r="G5" s="22">
        <v>2681</v>
      </c>
      <c r="H5" s="21">
        <v>45708.399907407409</v>
      </c>
    </row>
    <row r="6" spans="1:8">
      <c r="A6" s="1" t="s">
        <v>173</v>
      </c>
      <c r="B6" s="1" t="s">
        <v>172</v>
      </c>
      <c r="C6" s="1" t="s">
        <v>127</v>
      </c>
      <c r="D6" s="1" t="s">
        <v>100</v>
      </c>
      <c r="E6" s="1" t="s">
        <v>20</v>
      </c>
      <c r="F6" s="22">
        <v>10000</v>
      </c>
      <c r="G6" s="22">
        <v>10000</v>
      </c>
      <c r="H6" s="21">
        <v>45708.399907407409</v>
      </c>
    </row>
    <row r="7" spans="1:8">
      <c r="A7" s="1" t="s">
        <v>209</v>
      </c>
      <c r="B7" s="1" t="s">
        <v>18</v>
      </c>
      <c r="C7" s="1" t="s">
        <v>210</v>
      </c>
      <c r="D7" s="1" t="s">
        <v>102</v>
      </c>
      <c r="E7" s="1" t="s">
        <v>23</v>
      </c>
      <c r="F7" s="22">
        <v>100</v>
      </c>
      <c r="G7" s="22">
        <v>7780</v>
      </c>
      <c r="H7" s="21">
        <v>45721.754976851851</v>
      </c>
    </row>
    <row r="8" spans="1:8">
      <c r="A8" s="1" t="s">
        <v>212</v>
      </c>
      <c r="B8" s="1" t="s">
        <v>18</v>
      </c>
      <c r="C8" s="1" t="s">
        <v>211</v>
      </c>
      <c r="D8" s="1" t="s">
        <v>91</v>
      </c>
      <c r="E8" s="1" t="s">
        <v>11</v>
      </c>
      <c r="F8" s="22">
        <v>-16</v>
      </c>
      <c r="G8" s="22">
        <v>300</v>
      </c>
      <c r="H8" s="21">
        <v>45721.765543981484</v>
      </c>
    </row>
    <row r="9" spans="1:8">
      <c r="A9" s="1" t="s">
        <v>213</v>
      </c>
      <c r="B9" s="1" t="s">
        <v>18</v>
      </c>
      <c r="C9" s="1" t="s">
        <v>211</v>
      </c>
      <c r="D9" s="1" t="s">
        <v>92</v>
      </c>
      <c r="E9" s="1" t="s">
        <v>14</v>
      </c>
      <c r="F9" s="22">
        <v>-16</v>
      </c>
      <c r="G9" s="22">
        <v>300</v>
      </c>
      <c r="H9" s="21">
        <v>45721.765543981484</v>
      </c>
    </row>
    <row r="10" spans="1:8">
      <c r="A10" s="1" t="s">
        <v>214</v>
      </c>
      <c r="B10" s="1" t="s">
        <v>18</v>
      </c>
      <c r="C10" s="1" t="s">
        <v>211</v>
      </c>
      <c r="D10" s="1" t="s">
        <v>93</v>
      </c>
      <c r="E10" s="1" t="s">
        <v>15</v>
      </c>
      <c r="F10" s="22">
        <v>-8</v>
      </c>
      <c r="G10" s="22">
        <v>300</v>
      </c>
      <c r="H10" s="21">
        <v>45721.765543981484</v>
      </c>
    </row>
    <row r="11" spans="1:8">
      <c r="A11" s="1" t="s">
        <v>215</v>
      </c>
      <c r="B11" s="1" t="s">
        <v>18</v>
      </c>
      <c r="C11" s="1" t="s">
        <v>211</v>
      </c>
      <c r="D11" s="1" t="s">
        <v>91</v>
      </c>
      <c r="E11" s="1" t="s">
        <v>11</v>
      </c>
      <c r="F11" s="22">
        <v>-16</v>
      </c>
      <c r="G11" s="22">
        <v>300</v>
      </c>
      <c r="H11" s="21">
        <v>45721.765543981484</v>
      </c>
    </row>
    <row r="12" spans="1:8">
      <c r="A12" s="1" t="s">
        <v>216</v>
      </c>
      <c r="B12" s="1" t="s">
        <v>18</v>
      </c>
      <c r="C12" s="1" t="s">
        <v>211</v>
      </c>
      <c r="D12" s="1" t="s">
        <v>92</v>
      </c>
      <c r="E12" s="1" t="s">
        <v>14</v>
      </c>
      <c r="F12" s="22">
        <v>-16</v>
      </c>
      <c r="G12" s="22">
        <v>300</v>
      </c>
      <c r="H12" s="21">
        <v>45721.765543981484</v>
      </c>
    </row>
    <row r="13" spans="1:8">
      <c r="A13" s="1" t="s">
        <v>217</v>
      </c>
      <c r="B13" s="1" t="s">
        <v>18</v>
      </c>
      <c r="C13" s="1" t="s">
        <v>211</v>
      </c>
      <c r="D13" s="1" t="s">
        <v>91</v>
      </c>
      <c r="E13" s="1" t="s">
        <v>11</v>
      </c>
      <c r="F13" s="22">
        <v>-16</v>
      </c>
      <c r="G13" s="22">
        <v>300</v>
      </c>
      <c r="H13" s="21">
        <v>45721.765543981484</v>
      </c>
    </row>
    <row r="14" spans="1:8">
      <c r="A14" s="1" t="s">
        <v>218</v>
      </c>
      <c r="B14" s="1" t="s">
        <v>18</v>
      </c>
      <c r="C14" s="1" t="s">
        <v>211</v>
      </c>
      <c r="D14" s="1" t="s">
        <v>92</v>
      </c>
      <c r="E14" s="1" t="s">
        <v>14</v>
      </c>
      <c r="F14" s="22">
        <v>-16</v>
      </c>
      <c r="G14" s="22">
        <v>300</v>
      </c>
      <c r="H14" s="21">
        <v>45721.765543981484</v>
      </c>
    </row>
    <row r="15" spans="1:8">
      <c r="A15" s="1" t="s">
        <v>219</v>
      </c>
      <c r="B15" s="1" t="s">
        <v>18</v>
      </c>
      <c r="C15" s="1" t="s">
        <v>211</v>
      </c>
      <c r="D15" s="1" t="s">
        <v>93</v>
      </c>
      <c r="E15" s="1" t="s">
        <v>15</v>
      </c>
      <c r="F15" s="22">
        <v>-8</v>
      </c>
      <c r="G15" s="22">
        <v>300</v>
      </c>
      <c r="H15" s="21">
        <v>45721.765543981484</v>
      </c>
    </row>
    <row r="16" spans="1:8">
      <c r="A16" s="1" t="s">
        <v>220</v>
      </c>
      <c r="B16" s="1" t="s">
        <v>18</v>
      </c>
      <c r="C16" s="1" t="s">
        <v>211</v>
      </c>
      <c r="D16" s="1" t="s">
        <v>91</v>
      </c>
      <c r="E16" s="1" t="s">
        <v>11</v>
      </c>
      <c r="F16" s="22">
        <v>-16</v>
      </c>
      <c r="G16" s="22">
        <v>300</v>
      </c>
      <c r="H16" s="21">
        <v>45721.765543981484</v>
      </c>
    </row>
    <row r="17" spans="1:8">
      <c r="A17" s="1" t="s">
        <v>221</v>
      </c>
      <c r="B17" s="1" t="s">
        <v>18</v>
      </c>
      <c r="C17" s="1" t="s">
        <v>211</v>
      </c>
      <c r="D17" s="1" t="s">
        <v>91</v>
      </c>
      <c r="E17" s="1" t="s">
        <v>11</v>
      </c>
      <c r="F17" s="22">
        <v>-16</v>
      </c>
      <c r="G17" s="22">
        <v>300</v>
      </c>
      <c r="H17" s="21">
        <v>45721.765543981484</v>
      </c>
    </row>
    <row r="18" spans="1:8">
      <c r="A18" s="1" t="s">
        <v>222</v>
      </c>
      <c r="B18" s="1" t="s">
        <v>18</v>
      </c>
      <c r="C18" s="1" t="s">
        <v>211</v>
      </c>
      <c r="D18" s="1" t="s">
        <v>92</v>
      </c>
      <c r="E18" s="1" t="s">
        <v>14</v>
      </c>
      <c r="F18" s="22">
        <v>-16</v>
      </c>
      <c r="G18" s="22">
        <v>300</v>
      </c>
      <c r="H18" s="21">
        <v>45721.765543981484</v>
      </c>
    </row>
    <row r="19" spans="1:8">
      <c r="A19" s="1" t="s">
        <v>223</v>
      </c>
      <c r="B19" s="1" t="s">
        <v>18</v>
      </c>
      <c r="C19" s="1" t="s">
        <v>211</v>
      </c>
      <c r="D19" s="1" t="s">
        <v>91</v>
      </c>
      <c r="E19" s="1" t="s">
        <v>11</v>
      </c>
      <c r="F19" s="22">
        <v>-16</v>
      </c>
      <c r="G19" s="22">
        <v>300</v>
      </c>
      <c r="H19" s="21">
        <v>45721.765543981484</v>
      </c>
    </row>
    <row r="20" spans="1:8">
      <c r="A20" s="1" t="s">
        <v>224</v>
      </c>
      <c r="B20" s="1" t="s">
        <v>18</v>
      </c>
      <c r="C20" s="1" t="s">
        <v>211</v>
      </c>
      <c r="D20" s="1" t="s">
        <v>92</v>
      </c>
      <c r="E20" s="1" t="s">
        <v>14</v>
      </c>
      <c r="F20" s="22">
        <v>-16</v>
      </c>
      <c r="G20" s="22">
        <v>300</v>
      </c>
      <c r="H20" s="21">
        <v>45721.765543981484</v>
      </c>
    </row>
    <row r="21" spans="1:8">
      <c r="A21" s="1" t="s">
        <v>225</v>
      </c>
      <c r="B21" s="1" t="s">
        <v>18</v>
      </c>
      <c r="C21" s="1" t="s">
        <v>211</v>
      </c>
      <c r="D21" s="1" t="s">
        <v>91</v>
      </c>
      <c r="E21" s="1" t="s">
        <v>11</v>
      </c>
      <c r="F21" s="22">
        <v>-16</v>
      </c>
      <c r="G21" s="22">
        <v>300</v>
      </c>
      <c r="H21" s="21">
        <v>45721.765543981484</v>
      </c>
    </row>
    <row r="22" spans="1:8">
      <c r="A22" s="1" t="s">
        <v>226</v>
      </c>
      <c r="B22" s="1" t="s">
        <v>18</v>
      </c>
      <c r="C22" s="1" t="s">
        <v>211</v>
      </c>
      <c r="D22" s="1" t="s">
        <v>92</v>
      </c>
      <c r="E22" s="1" t="s">
        <v>14</v>
      </c>
      <c r="F22" s="22">
        <v>-16</v>
      </c>
      <c r="G22" s="22">
        <v>300</v>
      </c>
      <c r="H22" s="21">
        <v>45721.765543981484</v>
      </c>
    </row>
    <row r="23" spans="1:8">
      <c r="A23" s="1" t="s">
        <v>227</v>
      </c>
      <c r="B23" s="1" t="s">
        <v>18</v>
      </c>
      <c r="C23" s="1" t="s">
        <v>211</v>
      </c>
      <c r="D23" s="1" t="s">
        <v>91</v>
      </c>
      <c r="E23" s="1" t="s">
        <v>11</v>
      </c>
      <c r="F23" s="22">
        <v>-16</v>
      </c>
      <c r="G23" s="22">
        <v>300</v>
      </c>
      <c r="H23" s="21">
        <v>45721.765543981484</v>
      </c>
    </row>
    <row r="24" spans="1:8">
      <c r="A24" s="1" t="s">
        <v>228</v>
      </c>
      <c r="B24" s="1" t="s">
        <v>18</v>
      </c>
      <c r="C24" s="1" t="s">
        <v>211</v>
      </c>
      <c r="D24" s="1" t="s">
        <v>92</v>
      </c>
      <c r="E24" s="1" t="s">
        <v>14</v>
      </c>
      <c r="F24" s="22">
        <v>-16</v>
      </c>
      <c r="G24" s="22">
        <v>300</v>
      </c>
      <c r="H24" s="21">
        <v>45721.765543981484</v>
      </c>
    </row>
    <row r="25" spans="1:8">
      <c r="A25" s="1" t="s">
        <v>229</v>
      </c>
      <c r="B25" s="1" t="s">
        <v>18</v>
      </c>
      <c r="C25" s="1" t="s">
        <v>211</v>
      </c>
      <c r="D25" s="1" t="s">
        <v>93</v>
      </c>
      <c r="E25" s="1" t="s">
        <v>15</v>
      </c>
      <c r="F25" s="22">
        <v>-8</v>
      </c>
      <c r="G25" s="22">
        <v>300</v>
      </c>
      <c r="H25" s="21">
        <v>45721.765543981484</v>
      </c>
    </row>
    <row r="26" spans="1:8">
      <c r="A26" s="1" t="s">
        <v>230</v>
      </c>
      <c r="B26" s="1" t="s">
        <v>18</v>
      </c>
      <c r="C26" s="1" t="s">
        <v>210</v>
      </c>
      <c r="D26" s="1" t="s">
        <v>102</v>
      </c>
      <c r="E26" s="1" t="s">
        <v>23</v>
      </c>
      <c r="F26" s="22">
        <v>20</v>
      </c>
      <c r="G26" s="22">
        <v>7800</v>
      </c>
      <c r="H26" s="21">
        <v>45721.766458333332</v>
      </c>
    </row>
    <row r="27" spans="1:8">
      <c r="A27" s="1" t="s">
        <v>231</v>
      </c>
      <c r="B27" s="1" t="s">
        <v>18</v>
      </c>
      <c r="C27" s="1" t="s">
        <v>210</v>
      </c>
      <c r="D27" s="1" t="s">
        <v>91</v>
      </c>
      <c r="E27" s="1" t="s">
        <v>11</v>
      </c>
      <c r="F27" s="22">
        <v>10</v>
      </c>
      <c r="G27" s="22">
        <v>310</v>
      </c>
      <c r="H27" s="21">
        <v>45721.767569444448</v>
      </c>
    </row>
    <row r="28" spans="1:8">
      <c r="A28" s="1" t="s">
        <v>232</v>
      </c>
      <c r="B28" s="1" t="s">
        <v>18</v>
      </c>
      <c r="C28" s="1" t="s">
        <v>210</v>
      </c>
      <c r="D28" s="1" t="s">
        <v>92</v>
      </c>
      <c r="E28" s="1" t="s">
        <v>14</v>
      </c>
      <c r="F28" s="22">
        <v>10</v>
      </c>
      <c r="G28" s="22">
        <v>310</v>
      </c>
      <c r="H28" s="21">
        <v>45721.767569444448</v>
      </c>
    </row>
    <row r="29" spans="1:8">
      <c r="A29" s="1" t="s">
        <v>233</v>
      </c>
      <c r="B29" s="1" t="s">
        <v>18</v>
      </c>
      <c r="C29" s="1" t="s">
        <v>210</v>
      </c>
      <c r="D29" s="1" t="s">
        <v>93</v>
      </c>
      <c r="E29" s="1" t="s">
        <v>15</v>
      </c>
      <c r="F29" s="22">
        <v>10</v>
      </c>
      <c r="G29" s="22">
        <v>310</v>
      </c>
      <c r="H29" s="21">
        <v>45721.767569444448</v>
      </c>
    </row>
    <row r="30" spans="1:8">
      <c r="A30" s="1" t="s">
        <v>234</v>
      </c>
      <c r="B30" s="1" t="s">
        <v>18</v>
      </c>
      <c r="C30" s="1" t="s">
        <v>210</v>
      </c>
      <c r="D30" s="1" t="s">
        <v>102</v>
      </c>
      <c r="E30" s="1" t="s">
        <v>23</v>
      </c>
      <c r="F30" s="22">
        <v>50</v>
      </c>
      <c r="G30" s="22">
        <v>7850</v>
      </c>
      <c r="H30" s="21">
        <v>45721.767997685187</v>
      </c>
    </row>
    <row r="31" spans="1:8">
      <c r="A31" s="1" t="s">
        <v>235</v>
      </c>
      <c r="B31" s="1" t="s">
        <v>18</v>
      </c>
      <c r="C31" s="1" t="s">
        <v>210</v>
      </c>
      <c r="D31" s="1" t="s">
        <v>91</v>
      </c>
      <c r="E31" s="1" t="s">
        <v>11</v>
      </c>
      <c r="F31" s="22">
        <v>10</v>
      </c>
      <c r="G31" s="22">
        <v>320</v>
      </c>
      <c r="H31" s="21">
        <v>45721.768449074072</v>
      </c>
    </row>
    <row r="32" spans="1:8">
      <c r="A32" s="1" t="s">
        <v>236</v>
      </c>
      <c r="B32" s="1" t="s">
        <v>18</v>
      </c>
      <c r="C32" s="1" t="s">
        <v>211</v>
      </c>
      <c r="D32" s="1" t="s">
        <v>91</v>
      </c>
      <c r="E32" s="1" t="s">
        <v>11</v>
      </c>
      <c r="F32" s="22">
        <v>-10</v>
      </c>
      <c r="G32" s="22">
        <v>310</v>
      </c>
      <c r="H32" s="21">
        <v>45721.768553240741</v>
      </c>
    </row>
    <row r="33" spans="1:8">
      <c r="A33" s="1" t="s">
        <v>237</v>
      </c>
      <c r="B33" s="1" t="s">
        <v>18</v>
      </c>
      <c r="C33" s="1" t="s">
        <v>211</v>
      </c>
      <c r="D33" s="1" t="s">
        <v>91</v>
      </c>
      <c r="E33" s="1" t="s">
        <v>11</v>
      </c>
      <c r="F33" s="22">
        <v>-10</v>
      </c>
      <c r="G33" s="22">
        <v>300</v>
      </c>
      <c r="H33" s="21">
        <v>45721.768622685187</v>
      </c>
    </row>
    <row r="34" spans="1:8">
      <c r="A34" s="1" t="s">
        <v>238</v>
      </c>
      <c r="B34" s="1" t="s">
        <v>18</v>
      </c>
      <c r="C34" s="1" t="s">
        <v>211</v>
      </c>
      <c r="D34" s="1" t="s">
        <v>91</v>
      </c>
      <c r="E34" s="1" t="s">
        <v>11</v>
      </c>
      <c r="F34" s="22">
        <v>-10</v>
      </c>
      <c r="G34" s="22">
        <v>290</v>
      </c>
      <c r="H34" s="21">
        <v>45721.76871527778</v>
      </c>
    </row>
    <row r="35" spans="1:8">
      <c r="A35" s="1" t="s">
        <v>239</v>
      </c>
      <c r="B35" s="1" t="s">
        <v>18</v>
      </c>
      <c r="C35" s="1" t="s">
        <v>210</v>
      </c>
      <c r="D35" s="1" t="s">
        <v>91</v>
      </c>
      <c r="E35" s="1" t="s">
        <v>11</v>
      </c>
      <c r="F35" s="22">
        <v>10</v>
      </c>
      <c r="G35" s="22">
        <v>300</v>
      </c>
      <c r="H35" s="21">
        <v>45721.773414351854</v>
      </c>
    </row>
    <row r="36" spans="1:8">
      <c r="A36" s="1" t="s">
        <v>240</v>
      </c>
      <c r="B36" s="1" t="s">
        <v>18</v>
      </c>
      <c r="C36" s="1" t="s">
        <v>210</v>
      </c>
      <c r="D36" s="1" t="s">
        <v>92</v>
      </c>
      <c r="E36" s="1" t="s">
        <v>14</v>
      </c>
      <c r="F36" s="22">
        <v>10</v>
      </c>
      <c r="G36" s="22">
        <v>320</v>
      </c>
      <c r="H36" s="21">
        <v>45721.773414351854</v>
      </c>
    </row>
    <row r="37" spans="1:8">
      <c r="A37" s="1" t="s">
        <v>241</v>
      </c>
      <c r="B37" s="1" t="s">
        <v>18</v>
      </c>
      <c r="C37" s="1" t="s">
        <v>210</v>
      </c>
      <c r="D37" s="1" t="s">
        <v>93</v>
      </c>
      <c r="E37" s="1" t="s">
        <v>15</v>
      </c>
      <c r="F37" s="22">
        <v>10</v>
      </c>
      <c r="G37" s="22">
        <v>320</v>
      </c>
      <c r="H37" s="21">
        <v>45721.773414351854</v>
      </c>
    </row>
    <row r="38" spans="1:8">
      <c r="A38" s="1" t="s">
        <v>242</v>
      </c>
      <c r="B38" s="1" t="s">
        <v>18</v>
      </c>
      <c r="C38" s="1" t="s">
        <v>210</v>
      </c>
      <c r="D38" s="1" t="s">
        <v>94</v>
      </c>
      <c r="E38" s="1" t="s">
        <v>70</v>
      </c>
      <c r="F38" s="22">
        <v>10</v>
      </c>
      <c r="G38" s="22">
        <v>284</v>
      </c>
      <c r="H38" s="21">
        <v>45721.773414351854</v>
      </c>
    </row>
    <row r="39" spans="1:8">
      <c r="A39" s="1" t="s">
        <v>243</v>
      </c>
      <c r="B39" s="1" t="s">
        <v>18</v>
      </c>
      <c r="C39" s="1" t="s">
        <v>210</v>
      </c>
      <c r="D39" s="1" t="s">
        <v>95</v>
      </c>
      <c r="E39" s="1" t="s">
        <v>71</v>
      </c>
      <c r="F39" s="22">
        <v>10</v>
      </c>
      <c r="G39" s="22">
        <v>133</v>
      </c>
      <c r="H39" s="21">
        <v>45721.773414351854</v>
      </c>
    </row>
    <row r="40" spans="1:8">
      <c r="A40" s="1" t="s">
        <v>244</v>
      </c>
      <c r="B40" s="1" t="s">
        <v>18</v>
      </c>
      <c r="C40" s="1" t="s">
        <v>210</v>
      </c>
      <c r="D40" s="1" t="s">
        <v>91</v>
      </c>
      <c r="E40" s="1" t="s">
        <v>11</v>
      </c>
      <c r="F40" s="22">
        <v>10</v>
      </c>
      <c r="G40" s="22">
        <v>310</v>
      </c>
      <c r="H40" s="21">
        <v>45721.773472222223</v>
      </c>
    </row>
    <row r="41" spans="1:8">
      <c r="A41" s="1" t="s">
        <v>245</v>
      </c>
      <c r="B41" s="1" t="s">
        <v>18</v>
      </c>
      <c r="C41" s="1" t="s">
        <v>210</v>
      </c>
      <c r="D41" s="1" t="s">
        <v>91</v>
      </c>
      <c r="E41" s="1" t="s">
        <v>11</v>
      </c>
      <c r="F41" s="22">
        <v>10</v>
      </c>
      <c r="G41" s="22">
        <v>320</v>
      </c>
      <c r="H41" s="21">
        <v>45721.774409722224</v>
      </c>
    </row>
    <row r="42" spans="1:8">
      <c r="A42" s="1" t="s">
        <v>246</v>
      </c>
      <c r="B42" s="1" t="s">
        <v>18</v>
      </c>
      <c r="C42" s="1" t="s">
        <v>210</v>
      </c>
      <c r="D42" s="1" t="s">
        <v>92</v>
      </c>
      <c r="E42" s="1" t="s">
        <v>14</v>
      </c>
      <c r="F42" s="22">
        <v>10</v>
      </c>
      <c r="G42" s="22">
        <v>330</v>
      </c>
      <c r="H42" s="21">
        <v>45721.774409722224</v>
      </c>
    </row>
    <row r="43" spans="1:8">
      <c r="A43" s="1" t="s">
        <v>247</v>
      </c>
      <c r="B43" s="1" t="s">
        <v>18</v>
      </c>
      <c r="C43" s="1" t="s">
        <v>210</v>
      </c>
      <c r="D43" s="1" t="s">
        <v>91</v>
      </c>
      <c r="E43" s="1" t="s">
        <v>11</v>
      </c>
      <c r="F43" s="22">
        <v>10</v>
      </c>
      <c r="G43" s="22">
        <v>330</v>
      </c>
      <c r="H43" s="21">
        <v>45721.774467592593</v>
      </c>
    </row>
    <row r="44" spans="1:8">
      <c r="A44" s="1" t="s">
        <v>248</v>
      </c>
      <c r="B44" s="1" t="s">
        <v>18</v>
      </c>
      <c r="C44" s="1" t="s">
        <v>210</v>
      </c>
      <c r="D44" s="1" t="s">
        <v>92</v>
      </c>
      <c r="E44" s="1" t="s">
        <v>14</v>
      </c>
      <c r="F44" s="22">
        <v>10</v>
      </c>
      <c r="G44" s="22">
        <v>340</v>
      </c>
      <c r="H44" s="21">
        <v>45721.774467592593</v>
      </c>
    </row>
    <row r="45" spans="1:8">
      <c r="A45" s="1" t="s">
        <v>249</v>
      </c>
      <c r="B45" s="1" t="s">
        <v>18</v>
      </c>
      <c r="C45" s="1" t="s">
        <v>210</v>
      </c>
      <c r="D45" s="1" t="s">
        <v>102</v>
      </c>
      <c r="E45" s="1" t="s">
        <v>23</v>
      </c>
      <c r="F45" s="22">
        <v>50</v>
      </c>
      <c r="G45" s="22">
        <v>7900</v>
      </c>
      <c r="H45" s="21">
        <v>45721.775555555556</v>
      </c>
    </row>
    <row r="46" spans="1:8">
      <c r="A46" s="1" t="s">
        <v>250</v>
      </c>
      <c r="B46" s="1" t="s">
        <v>18</v>
      </c>
      <c r="C46" s="1" t="s">
        <v>210</v>
      </c>
      <c r="D46" s="1" t="s">
        <v>99</v>
      </c>
      <c r="E46" s="1" t="s">
        <v>19</v>
      </c>
      <c r="F46" s="22">
        <v>10</v>
      </c>
      <c r="G46" s="22">
        <v>2691</v>
      </c>
      <c r="H46" s="21">
        <v>45721.775763888887</v>
      </c>
    </row>
    <row r="47" spans="1:8">
      <c r="A47" s="1" t="s">
        <v>251</v>
      </c>
      <c r="B47" s="1" t="s">
        <v>18</v>
      </c>
      <c r="C47" s="1" t="s">
        <v>210</v>
      </c>
      <c r="D47" s="1" t="s">
        <v>100</v>
      </c>
      <c r="E47" s="1" t="s">
        <v>20</v>
      </c>
      <c r="F47" s="22">
        <v>10</v>
      </c>
      <c r="G47" s="22">
        <v>10010</v>
      </c>
      <c r="H47" s="21">
        <v>45721.775763888887</v>
      </c>
    </row>
    <row r="48" spans="1:8">
      <c r="A48" s="1" t="s">
        <v>252</v>
      </c>
      <c r="B48" s="1" t="s">
        <v>18</v>
      </c>
      <c r="C48" s="1" t="s">
        <v>210</v>
      </c>
      <c r="D48" s="1" t="s">
        <v>101</v>
      </c>
      <c r="E48" s="1" t="s">
        <v>21</v>
      </c>
      <c r="F48" s="22">
        <v>10</v>
      </c>
      <c r="G48" s="22">
        <v>2547</v>
      </c>
      <c r="H48" s="21">
        <v>45721.775763888887</v>
      </c>
    </row>
    <row r="49" spans="1:8">
      <c r="A49" s="1" t="s">
        <v>253</v>
      </c>
      <c r="B49" s="1" t="s">
        <v>18</v>
      </c>
      <c r="C49" s="1" t="s">
        <v>210</v>
      </c>
      <c r="D49" s="1" t="s">
        <v>91</v>
      </c>
      <c r="E49" s="1" t="s">
        <v>11</v>
      </c>
      <c r="F49" s="22">
        <v>10</v>
      </c>
      <c r="G49" s="22">
        <v>340</v>
      </c>
      <c r="H49" s="21">
        <v>45721.794363425928</v>
      </c>
    </row>
    <row r="50" spans="1:8">
      <c r="A50" s="1" t="s">
        <v>254</v>
      </c>
      <c r="B50" s="1" t="s">
        <v>18</v>
      </c>
      <c r="C50" s="1" t="s">
        <v>210</v>
      </c>
      <c r="D50" s="1" t="s">
        <v>92</v>
      </c>
      <c r="E50" s="1" t="s">
        <v>14</v>
      </c>
      <c r="F50" s="22">
        <v>10</v>
      </c>
      <c r="G50" s="22">
        <v>350</v>
      </c>
      <c r="H50" s="21">
        <v>45721.794363425928</v>
      </c>
    </row>
    <row r="51" spans="1:8">
      <c r="A51" s="1" t="s">
        <v>255</v>
      </c>
      <c r="B51" s="1" t="s">
        <v>18</v>
      </c>
      <c r="C51" s="1" t="s">
        <v>210</v>
      </c>
      <c r="D51" s="1" t="s">
        <v>93</v>
      </c>
      <c r="E51" s="1" t="s">
        <v>15</v>
      </c>
      <c r="F51" s="22">
        <v>10</v>
      </c>
      <c r="G51" s="22">
        <v>330</v>
      </c>
      <c r="H51" s="21">
        <v>45721.794363425928</v>
      </c>
    </row>
    <row r="52" spans="1:8">
      <c r="A52" s="1" t="s">
        <v>323</v>
      </c>
      <c r="B52" s="1" t="s">
        <v>18</v>
      </c>
      <c r="C52" s="1" t="s">
        <v>210</v>
      </c>
      <c r="D52" s="1" t="s">
        <v>91</v>
      </c>
      <c r="E52" s="1" t="s">
        <v>11</v>
      </c>
      <c r="F52" s="22">
        <v>10</v>
      </c>
      <c r="G52" s="22">
        <v>326</v>
      </c>
      <c r="H52" s="21">
        <v>45721.800636574073</v>
      </c>
    </row>
    <row r="53" spans="1:8">
      <c r="A53" s="1" t="s">
        <v>324</v>
      </c>
      <c r="B53" s="1" t="s">
        <v>18</v>
      </c>
      <c r="C53" s="1" t="s">
        <v>210</v>
      </c>
      <c r="D53" s="1" t="s">
        <v>92</v>
      </c>
      <c r="E53" s="1" t="s">
        <v>14</v>
      </c>
      <c r="F53" s="22">
        <v>10</v>
      </c>
      <c r="G53" s="22">
        <v>326</v>
      </c>
      <c r="H53" s="21">
        <v>45721.800636574073</v>
      </c>
    </row>
    <row r="54" spans="1:8">
      <c r="A54" s="1" t="s">
        <v>325</v>
      </c>
      <c r="B54" s="1" t="s">
        <v>18</v>
      </c>
      <c r="C54" s="1" t="s">
        <v>210</v>
      </c>
      <c r="D54" s="1" t="s">
        <v>93</v>
      </c>
      <c r="E54" s="1" t="s">
        <v>15</v>
      </c>
      <c r="F54" s="22">
        <v>10</v>
      </c>
      <c r="G54" s="22">
        <v>318</v>
      </c>
      <c r="H54" s="21">
        <v>45721.800636574073</v>
      </c>
    </row>
    <row r="55" spans="1:8">
      <c r="A55" s="1" t="s">
        <v>326</v>
      </c>
      <c r="B55" s="1" t="s">
        <v>18</v>
      </c>
      <c r="C55" s="1" t="s">
        <v>211</v>
      </c>
      <c r="D55" s="1" t="s">
        <v>91</v>
      </c>
      <c r="E55" s="1" t="s">
        <v>11</v>
      </c>
      <c r="F55" s="22">
        <v>-10</v>
      </c>
      <c r="G55" s="22">
        <v>316</v>
      </c>
      <c r="H55" s="21">
        <v>45721.801180555558</v>
      </c>
    </row>
    <row r="56" spans="1:8">
      <c r="A56" s="1" t="s">
        <v>327</v>
      </c>
      <c r="B56" s="1" t="s">
        <v>18</v>
      </c>
      <c r="C56" s="1" t="s">
        <v>211</v>
      </c>
      <c r="D56" s="1" t="s">
        <v>92</v>
      </c>
      <c r="E56" s="1" t="s">
        <v>14</v>
      </c>
      <c r="F56" s="22">
        <v>-10</v>
      </c>
      <c r="G56" s="22">
        <v>316</v>
      </c>
      <c r="H56" s="21">
        <v>45721.801180555558</v>
      </c>
    </row>
    <row r="57" spans="1:8">
      <c r="A57" s="1" t="s">
        <v>328</v>
      </c>
      <c r="B57" s="1" t="s">
        <v>18</v>
      </c>
      <c r="C57" s="1" t="s">
        <v>211</v>
      </c>
      <c r="D57" s="1" t="s">
        <v>93</v>
      </c>
      <c r="E57" s="1" t="s">
        <v>15</v>
      </c>
      <c r="F57" s="22">
        <v>-10</v>
      </c>
      <c r="G57" s="22">
        <v>308</v>
      </c>
      <c r="H57" s="21">
        <v>45721.801180555558</v>
      </c>
    </row>
    <row r="58" spans="1:8">
      <c r="A58" s="1" t="s">
        <v>329</v>
      </c>
      <c r="B58" s="1" t="s">
        <v>18</v>
      </c>
      <c r="C58" s="1" t="s">
        <v>210</v>
      </c>
      <c r="D58" s="1" t="s">
        <v>91</v>
      </c>
      <c r="E58" s="1" t="s">
        <v>11</v>
      </c>
      <c r="F58" s="22">
        <v>14</v>
      </c>
      <c r="G58" s="22">
        <v>330</v>
      </c>
      <c r="H58" s="21">
        <v>45721.805752314816</v>
      </c>
    </row>
    <row r="59" spans="1:8">
      <c r="A59" s="1" t="s">
        <v>330</v>
      </c>
      <c r="B59" s="1" t="s">
        <v>18</v>
      </c>
      <c r="C59" s="1" t="s">
        <v>210</v>
      </c>
      <c r="D59" s="1" t="s">
        <v>92</v>
      </c>
      <c r="E59" s="1" t="s">
        <v>14</v>
      </c>
      <c r="F59" s="22">
        <v>14</v>
      </c>
      <c r="G59" s="22">
        <v>330</v>
      </c>
      <c r="H59" s="21">
        <v>45721.805752314816</v>
      </c>
    </row>
    <row r="60" spans="1:8">
      <c r="A60" s="1" t="s">
        <v>331</v>
      </c>
      <c r="B60" s="1" t="s">
        <v>18</v>
      </c>
      <c r="C60" s="1" t="s">
        <v>210</v>
      </c>
      <c r="D60" s="1" t="s">
        <v>93</v>
      </c>
      <c r="E60" s="1" t="s">
        <v>15</v>
      </c>
      <c r="F60" s="22">
        <v>22</v>
      </c>
      <c r="G60" s="22">
        <v>330</v>
      </c>
      <c r="H60" s="21">
        <v>45721.805752314816</v>
      </c>
    </row>
    <row r="61" spans="1:8">
      <c r="A61" s="1" t="s">
        <v>332</v>
      </c>
      <c r="B61" s="1" t="s">
        <v>18</v>
      </c>
      <c r="C61" s="1" t="s">
        <v>211</v>
      </c>
      <c r="D61" s="1" t="s">
        <v>99</v>
      </c>
      <c r="E61" s="1" t="s">
        <v>19</v>
      </c>
      <c r="F61" s="22">
        <v>-81</v>
      </c>
      <c r="G61" s="22">
        <v>2600</v>
      </c>
      <c r="H61" s="21">
        <v>45721.806400462963</v>
      </c>
    </row>
    <row r="62" spans="1:8">
      <c r="A62" s="1" t="s">
        <v>333</v>
      </c>
      <c r="B62" s="1" t="s">
        <v>18</v>
      </c>
      <c r="C62" s="1" t="s">
        <v>211</v>
      </c>
      <c r="D62" s="1" t="s">
        <v>100</v>
      </c>
      <c r="E62" s="1" t="s">
        <v>20</v>
      </c>
      <c r="F62" s="22">
        <v>-1000</v>
      </c>
      <c r="G62" s="22">
        <v>9000</v>
      </c>
      <c r="H62" s="21">
        <v>45721.806400462963</v>
      </c>
    </row>
    <row r="63" spans="1:8">
      <c r="A63" s="1" t="s">
        <v>334</v>
      </c>
      <c r="B63" s="1" t="s">
        <v>18</v>
      </c>
      <c r="C63" s="1" t="s">
        <v>211</v>
      </c>
      <c r="D63" s="1" t="s">
        <v>101</v>
      </c>
      <c r="E63" s="1" t="s">
        <v>21</v>
      </c>
      <c r="F63" s="22">
        <v>-537</v>
      </c>
      <c r="G63" s="22">
        <v>2000</v>
      </c>
      <c r="H63" s="21">
        <v>45721.806400462963</v>
      </c>
    </row>
    <row r="64" spans="1:8">
      <c r="A64" s="1" t="s">
        <v>335</v>
      </c>
      <c r="B64" s="1" t="s">
        <v>18</v>
      </c>
      <c r="C64" s="1" t="s">
        <v>210</v>
      </c>
      <c r="D64" s="1" t="s">
        <v>91</v>
      </c>
      <c r="E64" s="1" t="s">
        <v>11</v>
      </c>
      <c r="F64" s="22">
        <v>70</v>
      </c>
      <c r="G64" s="22">
        <v>400</v>
      </c>
      <c r="H64" s="21">
        <v>45721.811018518521</v>
      </c>
    </row>
    <row r="65" spans="1:8">
      <c r="A65" s="1" t="s">
        <v>336</v>
      </c>
      <c r="B65" s="1" t="s">
        <v>18</v>
      </c>
      <c r="C65" s="1" t="s">
        <v>210</v>
      </c>
      <c r="D65" s="1" t="s">
        <v>92</v>
      </c>
      <c r="E65" s="1" t="s">
        <v>14</v>
      </c>
      <c r="F65" s="22">
        <v>70</v>
      </c>
      <c r="G65" s="22">
        <v>400</v>
      </c>
      <c r="H65" s="21">
        <v>45721.811018518521</v>
      </c>
    </row>
    <row r="66" spans="1:8">
      <c r="A66" s="1" t="s">
        <v>337</v>
      </c>
      <c r="B66" s="1" t="s">
        <v>18</v>
      </c>
      <c r="C66" s="1" t="s">
        <v>210</v>
      </c>
      <c r="D66" s="1" t="s">
        <v>93</v>
      </c>
      <c r="E66" s="1" t="s">
        <v>15</v>
      </c>
      <c r="F66" s="22">
        <v>70</v>
      </c>
      <c r="G66" s="22">
        <v>400</v>
      </c>
      <c r="H66" s="21">
        <v>45721.811030092591</v>
      </c>
    </row>
    <row r="67" spans="1:8">
      <c r="A67" s="1" t="s">
        <v>338</v>
      </c>
      <c r="B67" s="1" t="s">
        <v>18</v>
      </c>
      <c r="C67" s="1" t="s">
        <v>211</v>
      </c>
      <c r="D67" s="1" t="s">
        <v>99</v>
      </c>
      <c r="E67" s="1" t="s">
        <v>19</v>
      </c>
      <c r="F67" s="22">
        <v>-600</v>
      </c>
      <c r="G67" s="22">
        <v>2000</v>
      </c>
      <c r="H67" s="21">
        <v>45721.811076388891</v>
      </c>
    </row>
    <row r="68" spans="1:8">
      <c r="A68" s="1" t="s">
        <v>339</v>
      </c>
      <c r="B68" s="1" t="s">
        <v>18</v>
      </c>
      <c r="C68" s="1" t="s">
        <v>211</v>
      </c>
      <c r="D68" s="1" t="s">
        <v>100</v>
      </c>
      <c r="E68" s="1" t="s">
        <v>20</v>
      </c>
      <c r="F68" s="22">
        <v>-1000</v>
      </c>
      <c r="G68" s="22">
        <v>8000</v>
      </c>
      <c r="H68" s="21">
        <v>45721.811076388891</v>
      </c>
    </row>
    <row r="69" spans="1:8">
      <c r="A69" s="1" t="s">
        <v>340</v>
      </c>
      <c r="B69" s="1" t="s">
        <v>18</v>
      </c>
      <c r="C69" s="1" t="s">
        <v>211</v>
      </c>
      <c r="D69" s="1" t="s">
        <v>101</v>
      </c>
      <c r="E69" s="1" t="s">
        <v>21</v>
      </c>
      <c r="F69" s="22">
        <v>-500</v>
      </c>
      <c r="G69" s="22">
        <v>1500</v>
      </c>
      <c r="H69" s="21">
        <v>45721.811076388891</v>
      </c>
    </row>
    <row r="70" spans="1:8">
      <c r="A70" s="1" t="s">
        <v>341</v>
      </c>
      <c r="B70" s="1" t="s">
        <v>18</v>
      </c>
      <c r="C70" s="1" t="s">
        <v>211</v>
      </c>
      <c r="D70" s="1" t="s">
        <v>307</v>
      </c>
      <c r="E70" s="1" t="s">
        <v>49</v>
      </c>
      <c r="F70" s="22">
        <v>-2</v>
      </c>
      <c r="G70" s="22">
        <v>2.758</v>
      </c>
      <c r="H70" s="21">
        <v>45721.812696759262</v>
      </c>
    </row>
    <row r="71" spans="1:8">
      <c r="A71" s="1" t="s">
        <v>342</v>
      </c>
      <c r="B71" s="1" t="s">
        <v>18</v>
      </c>
      <c r="C71" s="1" t="s">
        <v>211</v>
      </c>
      <c r="D71" s="1" t="s">
        <v>311</v>
      </c>
      <c r="E71" s="1" t="s">
        <v>54</v>
      </c>
      <c r="F71" s="22">
        <v>-2</v>
      </c>
      <c r="G71" s="22">
        <v>6.8800000000000008</v>
      </c>
      <c r="H71" s="21">
        <v>45721.812696759262</v>
      </c>
    </row>
    <row r="72" spans="1:8">
      <c r="A72" s="1" t="s">
        <v>343</v>
      </c>
      <c r="B72" s="1" t="s">
        <v>18</v>
      </c>
      <c r="C72" s="1" t="s">
        <v>210</v>
      </c>
      <c r="D72" s="1" t="s">
        <v>298</v>
      </c>
      <c r="E72" s="1" t="s">
        <v>42</v>
      </c>
      <c r="F72" s="22">
        <v>1</v>
      </c>
      <c r="G72" s="22">
        <v>32.658000000000001</v>
      </c>
      <c r="H72" s="21">
        <v>45721.814328703702</v>
      </c>
    </row>
    <row r="73" spans="1:8">
      <c r="A73" s="1" t="s">
        <v>344</v>
      </c>
      <c r="B73" s="1" t="s">
        <v>18</v>
      </c>
      <c r="C73" s="1" t="s">
        <v>210</v>
      </c>
      <c r="D73" s="1" t="s">
        <v>306</v>
      </c>
      <c r="E73" s="1" t="s">
        <v>48</v>
      </c>
      <c r="F73" s="22">
        <v>1.02</v>
      </c>
      <c r="G73" s="22">
        <v>3</v>
      </c>
      <c r="H73" s="21">
        <v>45721.814328703702</v>
      </c>
    </row>
    <row r="74" spans="1:8">
      <c r="A74" s="1" t="s">
        <v>345</v>
      </c>
      <c r="B74" s="1" t="s">
        <v>18</v>
      </c>
      <c r="C74" s="1" t="s">
        <v>211</v>
      </c>
      <c r="D74" s="1" t="s">
        <v>307</v>
      </c>
      <c r="E74" s="1" t="s">
        <v>49</v>
      </c>
      <c r="F74" s="22">
        <v>-1</v>
      </c>
      <c r="G74" s="22">
        <v>1.758</v>
      </c>
      <c r="H74" s="21">
        <v>45721.815138888887</v>
      </c>
    </row>
    <row r="75" spans="1:8">
      <c r="A75" s="1" t="s">
        <v>346</v>
      </c>
      <c r="B75" s="1" t="s">
        <v>18</v>
      </c>
      <c r="C75" s="1" t="s">
        <v>211</v>
      </c>
      <c r="D75" s="1" t="s">
        <v>311</v>
      </c>
      <c r="E75" s="1" t="s">
        <v>54</v>
      </c>
      <c r="F75" s="22">
        <v>-1</v>
      </c>
      <c r="G75" s="22">
        <v>5.8800000000000008</v>
      </c>
      <c r="H75" s="21">
        <v>45721.815138888887</v>
      </c>
    </row>
    <row r="76" spans="1:8">
      <c r="A76" s="1" t="s">
        <v>347</v>
      </c>
      <c r="B76" s="1" t="s">
        <v>18</v>
      </c>
      <c r="C76" s="1" t="s">
        <v>348</v>
      </c>
      <c r="D76" s="1" t="s">
        <v>91</v>
      </c>
      <c r="E76" s="1" t="s">
        <v>11</v>
      </c>
      <c r="F76" s="22">
        <v>40</v>
      </c>
      <c r="G76" s="22">
        <v>440</v>
      </c>
      <c r="H76" s="21">
        <v>45721.825104166666</v>
      </c>
    </row>
    <row r="77" spans="1:8">
      <c r="A77" s="1" t="s">
        <v>349</v>
      </c>
      <c r="B77" s="1" t="s">
        <v>18</v>
      </c>
      <c r="C77" s="1" t="s">
        <v>348</v>
      </c>
      <c r="D77" s="1" t="s">
        <v>92</v>
      </c>
      <c r="E77" s="1" t="s">
        <v>14</v>
      </c>
      <c r="F77" s="22">
        <v>40</v>
      </c>
      <c r="G77" s="22">
        <v>440</v>
      </c>
      <c r="H77" s="21">
        <v>45721.825104166666</v>
      </c>
    </row>
    <row r="78" spans="1:8">
      <c r="A78" s="1" t="s">
        <v>350</v>
      </c>
      <c r="B78" s="1" t="s">
        <v>18</v>
      </c>
      <c r="C78" s="1" t="s">
        <v>348</v>
      </c>
      <c r="D78" s="1" t="s">
        <v>93</v>
      </c>
      <c r="E78" s="1" t="s">
        <v>15</v>
      </c>
      <c r="F78" s="22">
        <v>40</v>
      </c>
      <c r="G78" s="22">
        <v>440</v>
      </c>
      <c r="H78" s="21">
        <v>45721.825104166666</v>
      </c>
    </row>
    <row r="79" spans="1:8">
      <c r="A79" s="1" t="s">
        <v>351</v>
      </c>
      <c r="B79" s="1" t="s">
        <v>18</v>
      </c>
      <c r="C79" s="1" t="s">
        <v>348</v>
      </c>
      <c r="D79" s="1" t="s">
        <v>91</v>
      </c>
      <c r="E79" s="1" t="s">
        <v>11</v>
      </c>
      <c r="F79" s="22">
        <v>40</v>
      </c>
      <c r="G79" s="22">
        <v>480</v>
      </c>
      <c r="H79" s="21">
        <v>45721.825439814813</v>
      </c>
    </row>
    <row r="80" spans="1:8">
      <c r="A80" s="1" t="s">
        <v>352</v>
      </c>
      <c r="B80" s="1" t="s">
        <v>18</v>
      </c>
      <c r="C80" s="1" t="s">
        <v>348</v>
      </c>
      <c r="D80" s="1" t="s">
        <v>92</v>
      </c>
      <c r="E80" s="1" t="s">
        <v>14</v>
      </c>
      <c r="F80" s="22">
        <v>40</v>
      </c>
      <c r="G80" s="22">
        <v>480</v>
      </c>
      <c r="H80" s="21">
        <v>45721.825439814813</v>
      </c>
    </row>
    <row r="81" spans="1:8">
      <c r="A81" s="1" t="s">
        <v>353</v>
      </c>
      <c r="B81" s="1" t="s">
        <v>18</v>
      </c>
      <c r="C81" s="1" t="s">
        <v>348</v>
      </c>
      <c r="D81" s="1" t="s">
        <v>93</v>
      </c>
      <c r="E81" s="1" t="s">
        <v>15</v>
      </c>
      <c r="F81" s="22">
        <v>40</v>
      </c>
      <c r="G81" s="22">
        <v>480</v>
      </c>
      <c r="H81" s="21">
        <v>45721.825439814813</v>
      </c>
    </row>
    <row r="82" spans="1:8">
      <c r="A82" s="1" t="s">
        <v>354</v>
      </c>
      <c r="B82" s="1" t="s">
        <v>18</v>
      </c>
      <c r="C82" s="1" t="s">
        <v>348</v>
      </c>
      <c r="D82" s="1" t="s">
        <v>91</v>
      </c>
      <c r="E82" s="1" t="s">
        <v>11</v>
      </c>
      <c r="F82" s="22">
        <v>20</v>
      </c>
      <c r="G82" s="22">
        <v>500</v>
      </c>
      <c r="H82" s="21">
        <v>45721.826458333337</v>
      </c>
    </row>
    <row r="83" spans="1:8">
      <c r="A83" s="1" t="s">
        <v>355</v>
      </c>
      <c r="B83" s="1" t="s">
        <v>18</v>
      </c>
      <c r="C83" s="1" t="s">
        <v>348</v>
      </c>
      <c r="D83" s="1" t="s">
        <v>92</v>
      </c>
      <c r="E83" s="1" t="s">
        <v>14</v>
      </c>
      <c r="F83" s="22">
        <v>20</v>
      </c>
      <c r="G83" s="22">
        <v>500</v>
      </c>
      <c r="H83" s="21">
        <v>45721.826458333337</v>
      </c>
    </row>
    <row r="84" spans="1:8">
      <c r="A84" s="1" t="s">
        <v>356</v>
      </c>
      <c r="B84" s="1" t="s">
        <v>18</v>
      </c>
      <c r="C84" s="1" t="s">
        <v>348</v>
      </c>
      <c r="D84" s="1" t="s">
        <v>93</v>
      </c>
      <c r="E84" s="1" t="s">
        <v>15</v>
      </c>
      <c r="F84" s="22">
        <v>20</v>
      </c>
      <c r="G84" s="22">
        <v>500</v>
      </c>
      <c r="H84" s="21">
        <v>45721.826458333337</v>
      </c>
    </row>
    <row r="85" spans="1:8">
      <c r="A85" s="1" t="s">
        <v>357</v>
      </c>
      <c r="B85" s="1" t="s">
        <v>18</v>
      </c>
      <c r="C85" s="1" t="s">
        <v>358</v>
      </c>
      <c r="D85" s="1" t="s">
        <v>91</v>
      </c>
      <c r="E85" s="1" t="s">
        <v>11</v>
      </c>
      <c r="F85" s="22">
        <v>-100</v>
      </c>
      <c r="G85" s="22">
        <v>400</v>
      </c>
      <c r="H85" s="21">
        <v>45721.834120370368</v>
      </c>
    </row>
    <row r="86" spans="1:8">
      <c r="A86" s="1" t="s">
        <v>359</v>
      </c>
      <c r="B86" s="1" t="s">
        <v>18</v>
      </c>
      <c r="C86" s="1" t="s">
        <v>358</v>
      </c>
      <c r="D86" s="1" t="s">
        <v>92</v>
      </c>
      <c r="E86" s="1" t="s">
        <v>14</v>
      </c>
      <c r="F86" s="22">
        <v>-100</v>
      </c>
      <c r="G86" s="22">
        <v>400</v>
      </c>
      <c r="H86" s="21">
        <v>45721.834120370368</v>
      </c>
    </row>
    <row r="87" spans="1:8">
      <c r="A87" s="1" t="s">
        <v>360</v>
      </c>
      <c r="B87" s="1" t="s">
        <v>18</v>
      </c>
      <c r="C87" s="1" t="s">
        <v>358</v>
      </c>
      <c r="D87" s="1" t="s">
        <v>93</v>
      </c>
      <c r="E87" s="1" t="s">
        <v>15</v>
      </c>
      <c r="F87" s="22">
        <v>-100</v>
      </c>
      <c r="G87" s="22">
        <v>400</v>
      </c>
      <c r="H87" s="21">
        <v>45721.834120370368</v>
      </c>
    </row>
    <row r="88" spans="1:8">
      <c r="A88" s="1" t="s">
        <v>361</v>
      </c>
      <c r="B88" s="1" t="s">
        <v>18</v>
      </c>
      <c r="C88" s="1" t="s">
        <v>358</v>
      </c>
      <c r="D88" s="1" t="s">
        <v>91</v>
      </c>
      <c r="E88" s="1" t="s">
        <v>11</v>
      </c>
      <c r="F88" s="22">
        <v>-100</v>
      </c>
      <c r="G88" s="22">
        <v>300</v>
      </c>
      <c r="H88" s="21">
        <v>45721.834363425929</v>
      </c>
    </row>
    <row r="89" spans="1:8">
      <c r="A89" s="1" t="s">
        <v>362</v>
      </c>
      <c r="B89" s="1" t="s">
        <v>18</v>
      </c>
      <c r="C89" s="1" t="s">
        <v>358</v>
      </c>
      <c r="D89" s="1" t="s">
        <v>92</v>
      </c>
      <c r="E89" s="1" t="s">
        <v>14</v>
      </c>
      <c r="F89" s="22">
        <v>-100</v>
      </c>
      <c r="G89" s="22">
        <v>300</v>
      </c>
      <c r="H89" s="21">
        <v>45721.834363425929</v>
      </c>
    </row>
    <row r="90" spans="1:8">
      <c r="A90" s="1" t="s">
        <v>363</v>
      </c>
      <c r="B90" s="1" t="s">
        <v>18</v>
      </c>
      <c r="C90" s="1" t="s">
        <v>358</v>
      </c>
      <c r="D90" s="1" t="s">
        <v>93</v>
      </c>
      <c r="E90" s="1" t="s">
        <v>15</v>
      </c>
      <c r="F90" s="22">
        <v>-100</v>
      </c>
      <c r="G90" s="22">
        <v>300</v>
      </c>
      <c r="H90" s="21">
        <v>45721.834363425929</v>
      </c>
    </row>
    <row r="91" spans="1:8">
      <c r="A91" s="1" t="s">
        <v>364</v>
      </c>
      <c r="B91" s="1" t="s">
        <v>18</v>
      </c>
      <c r="C91" s="1" t="s">
        <v>358</v>
      </c>
      <c r="D91" s="1" t="s">
        <v>99</v>
      </c>
      <c r="E91" s="1" t="s">
        <v>19</v>
      </c>
      <c r="F91" s="22">
        <v>-1000</v>
      </c>
      <c r="G91" s="22">
        <v>1000</v>
      </c>
      <c r="H91" s="21">
        <v>45721.835949074077</v>
      </c>
    </row>
    <row r="92" spans="1:8">
      <c r="A92" s="1" t="s">
        <v>365</v>
      </c>
      <c r="B92" s="1" t="s">
        <v>18</v>
      </c>
      <c r="C92" s="1" t="s">
        <v>358</v>
      </c>
      <c r="D92" s="1" t="s">
        <v>100</v>
      </c>
      <c r="E92" s="1" t="s">
        <v>20</v>
      </c>
      <c r="F92" s="22">
        <v>-1000</v>
      </c>
      <c r="G92" s="22">
        <v>7000</v>
      </c>
      <c r="H92" s="21">
        <v>45721.835949074077</v>
      </c>
    </row>
    <row r="93" spans="1:8">
      <c r="A93" s="1" t="s">
        <v>366</v>
      </c>
      <c r="B93" s="1" t="s">
        <v>18</v>
      </c>
      <c r="C93" s="1" t="s">
        <v>358</v>
      </c>
      <c r="D93" s="1" t="s">
        <v>101</v>
      </c>
      <c r="E93" s="1" t="s">
        <v>21</v>
      </c>
      <c r="F93" s="22">
        <v>-500</v>
      </c>
      <c r="G93" s="22">
        <v>1000</v>
      </c>
      <c r="H93" s="21">
        <v>45721.835949074077</v>
      </c>
    </row>
    <row r="94" spans="1:8">
      <c r="A94" s="1" t="s">
        <v>367</v>
      </c>
      <c r="B94" s="1" t="s">
        <v>18</v>
      </c>
      <c r="C94" s="1" t="s">
        <v>127</v>
      </c>
      <c r="D94" s="1" t="s">
        <v>91</v>
      </c>
      <c r="E94" s="1" t="s">
        <v>11</v>
      </c>
      <c r="F94" s="22">
        <v>-100</v>
      </c>
      <c r="G94" s="22">
        <v>200</v>
      </c>
      <c r="H94" s="21">
        <v>45721.840925925928</v>
      </c>
    </row>
    <row r="95" spans="1:8">
      <c r="A95" s="1" t="s">
        <v>368</v>
      </c>
      <c r="B95" s="1" t="s">
        <v>18</v>
      </c>
      <c r="C95" s="1" t="s">
        <v>127</v>
      </c>
      <c r="D95" s="1" t="s">
        <v>92</v>
      </c>
      <c r="E95" s="1" t="s">
        <v>14</v>
      </c>
      <c r="F95" s="22">
        <v>-100</v>
      </c>
      <c r="G95" s="22">
        <v>200</v>
      </c>
      <c r="H95" s="21">
        <v>45721.840925925928</v>
      </c>
    </row>
    <row r="96" spans="1:8">
      <c r="A96" s="1" t="s">
        <v>369</v>
      </c>
      <c r="B96" s="1" t="s">
        <v>18</v>
      </c>
      <c r="C96" s="1" t="s">
        <v>127</v>
      </c>
      <c r="D96" s="1" t="s">
        <v>93</v>
      </c>
      <c r="E96" s="1" t="s">
        <v>15</v>
      </c>
      <c r="F96" s="22">
        <v>-100</v>
      </c>
      <c r="G96" s="22">
        <v>200</v>
      </c>
      <c r="H96" s="21">
        <v>45721.840925925928</v>
      </c>
    </row>
    <row r="97" spans="1:8">
      <c r="A97" s="1" t="s">
        <v>370</v>
      </c>
      <c r="B97" s="1" t="s">
        <v>18</v>
      </c>
      <c r="C97" s="1" t="s">
        <v>127</v>
      </c>
      <c r="D97" s="1" t="s">
        <v>91</v>
      </c>
      <c r="E97" s="1" t="s">
        <v>11</v>
      </c>
      <c r="F97" s="22">
        <v>100</v>
      </c>
      <c r="G97" s="22">
        <v>300</v>
      </c>
      <c r="H97" s="21">
        <v>45721.841886574075</v>
      </c>
    </row>
    <row r="98" spans="1:8">
      <c r="A98" s="1" t="s">
        <v>371</v>
      </c>
      <c r="B98" s="1" t="s">
        <v>18</v>
      </c>
      <c r="C98" s="1" t="s">
        <v>127</v>
      </c>
      <c r="D98" s="1" t="s">
        <v>92</v>
      </c>
      <c r="E98" s="1" t="s">
        <v>14</v>
      </c>
      <c r="F98" s="22">
        <v>100</v>
      </c>
      <c r="G98" s="22">
        <v>300</v>
      </c>
      <c r="H98" s="21">
        <v>45721.841886574075</v>
      </c>
    </row>
    <row r="99" spans="1:8">
      <c r="A99" s="1" t="s">
        <v>372</v>
      </c>
      <c r="B99" s="1" t="s">
        <v>18</v>
      </c>
      <c r="C99" s="1" t="s">
        <v>127</v>
      </c>
      <c r="D99" s="1" t="s">
        <v>93</v>
      </c>
      <c r="E99" s="1" t="s">
        <v>15</v>
      </c>
      <c r="F99" s="22">
        <v>100</v>
      </c>
      <c r="G99" s="22">
        <v>300</v>
      </c>
      <c r="H99" s="21">
        <v>45721.841898148145</v>
      </c>
    </row>
    <row r="100" spans="1:8">
      <c r="A100" s="1" t="s">
        <v>373</v>
      </c>
      <c r="B100" s="1" t="s">
        <v>18</v>
      </c>
      <c r="C100" s="1" t="s">
        <v>127</v>
      </c>
      <c r="D100" s="1" t="s">
        <v>94</v>
      </c>
      <c r="E100" s="1" t="s">
        <v>70</v>
      </c>
      <c r="F100" s="22">
        <v>-74</v>
      </c>
      <c r="G100" s="22">
        <v>200</v>
      </c>
      <c r="H100" s="21">
        <v>45721.841898148145</v>
      </c>
    </row>
    <row r="101" spans="1:8">
      <c r="A101" s="1" t="s">
        <v>374</v>
      </c>
      <c r="B101" s="1" t="s">
        <v>18</v>
      </c>
      <c r="C101" s="1" t="s">
        <v>127</v>
      </c>
      <c r="D101" s="1" t="s">
        <v>95</v>
      </c>
      <c r="E101" s="1" t="s">
        <v>71</v>
      </c>
      <c r="F101" s="22">
        <v>-23</v>
      </c>
      <c r="G101" s="22">
        <v>100</v>
      </c>
      <c r="H101" s="21">
        <v>45721.841898148145</v>
      </c>
    </row>
    <row r="102" spans="1:8">
      <c r="A102" s="1" t="s">
        <v>375</v>
      </c>
      <c r="B102" s="1" t="s">
        <v>18</v>
      </c>
      <c r="C102" s="1" t="s">
        <v>127</v>
      </c>
      <c r="D102" s="1" t="s">
        <v>96</v>
      </c>
      <c r="E102" s="1" t="s">
        <v>67</v>
      </c>
      <c r="F102" s="22">
        <v>-94</v>
      </c>
      <c r="G102" s="22">
        <v>200</v>
      </c>
      <c r="H102" s="21">
        <v>45721.841898148145</v>
      </c>
    </row>
    <row r="103" spans="1:8">
      <c r="A103" s="1" t="s">
        <v>376</v>
      </c>
      <c r="B103" s="1" t="s">
        <v>18</v>
      </c>
      <c r="C103" s="1" t="s">
        <v>127</v>
      </c>
      <c r="D103" s="1" t="s">
        <v>99</v>
      </c>
      <c r="E103" s="1" t="s">
        <v>19</v>
      </c>
      <c r="F103" s="22">
        <v>-100</v>
      </c>
      <c r="G103" s="22">
        <v>900</v>
      </c>
      <c r="H103" s="21">
        <v>45721.843981481485</v>
      </c>
    </row>
    <row r="104" spans="1:8">
      <c r="A104" s="1" t="s">
        <v>377</v>
      </c>
      <c r="B104" s="1" t="s">
        <v>18</v>
      </c>
      <c r="C104" s="1" t="s">
        <v>127</v>
      </c>
      <c r="D104" s="1" t="s">
        <v>100</v>
      </c>
      <c r="E104" s="1" t="s">
        <v>20</v>
      </c>
      <c r="F104" s="22">
        <v>3000</v>
      </c>
      <c r="G104" s="22">
        <v>10000</v>
      </c>
      <c r="H104" s="21">
        <v>45721.843981481485</v>
      </c>
    </row>
    <row r="105" spans="1:8">
      <c r="A105" s="1" t="s">
        <v>378</v>
      </c>
      <c r="B105" s="1" t="s">
        <v>18</v>
      </c>
      <c r="C105" s="1" t="s">
        <v>127</v>
      </c>
      <c r="D105" s="1" t="s">
        <v>101</v>
      </c>
      <c r="E105" s="1" t="s">
        <v>21</v>
      </c>
      <c r="F105" s="22">
        <v>1000</v>
      </c>
      <c r="G105" s="22">
        <v>2000</v>
      </c>
      <c r="H105" s="21">
        <v>45721.843981481485</v>
      </c>
    </row>
    <row r="106" spans="1:8">
      <c r="A106" s="1" t="s">
        <v>379</v>
      </c>
      <c r="B106" s="1" t="s">
        <v>18</v>
      </c>
      <c r="C106" s="1" t="s">
        <v>127</v>
      </c>
      <c r="D106" s="1" t="s">
        <v>256</v>
      </c>
      <c r="E106" s="1" t="s">
        <v>22</v>
      </c>
      <c r="F106" s="22">
        <v>-9</v>
      </c>
      <c r="G106" s="22">
        <v>1900</v>
      </c>
      <c r="H106" s="21">
        <v>45721.843981481485</v>
      </c>
    </row>
    <row r="107" spans="1:8">
      <c r="A107" s="1" t="s">
        <v>385</v>
      </c>
      <c r="B107" s="1" t="s">
        <v>18</v>
      </c>
      <c r="C107" s="1" t="s">
        <v>358</v>
      </c>
      <c r="D107" s="1" t="s">
        <v>97</v>
      </c>
      <c r="E107" s="1" t="s">
        <v>74</v>
      </c>
      <c r="F107" s="22">
        <v>-500</v>
      </c>
      <c r="G107" s="22">
        <v>-309</v>
      </c>
      <c r="H107" s="21">
        <v>45723.812731481485</v>
      </c>
    </row>
    <row r="108" spans="1:8">
      <c r="A108" s="1" t="s">
        <v>386</v>
      </c>
      <c r="B108" s="1" t="s">
        <v>18</v>
      </c>
      <c r="C108" s="1" t="s">
        <v>358</v>
      </c>
      <c r="D108" s="1" t="s">
        <v>99</v>
      </c>
      <c r="E108" s="1" t="s">
        <v>19</v>
      </c>
      <c r="F108" s="22">
        <v>-1000</v>
      </c>
      <c r="G108" s="22">
        <v>-100</v>
      </c>
      <c r="H108" s="21">
        <v>45723.812731481485</v>
      </c>
    </row>
    <row r="109" spans="1:8">
      <c r="A109" s="1" t="s">
        <v>387</v>
      </c>
      <c r="B109" s="1" t="s">
        <v>18</v>
      </c>
      <c r="C109" s="1" t="s">
        <v>358</v>
      </c>
      <c r="D109" s="1" t="s">
        <v>257</v>
      </c>
      <c r="E109" s="1" t="s">
        <v>23</v>
      </c>
      <c r="F109" s="22">
        <v>-1300</v>
      </c>
      <c r="G109" s="22">
        <v>-1223</v>
      </c>
      <c r="H109" s="21">
        <v>45723.812731481485</v>
      </c>
    </row>
    <row r="110" spans="1:8">
      <c r="A110" s="1" t="s">
        <v>388</v>
      </c>
      <c r="B110" s="1" t="s">
        <v>18</v>
      </c>
      <c r="C110" s="1" t="s">
        <v>358</v>
      </c>
      <c r="D110" s="1" t="s">
        <v>268</v>
      </c>
      <c r="E110" s="1" t="s">
        <v>28</v>
      </c>
      <c r="F110" s="22">
        <v>-10</v>
      </c>
      <c r="G110" s="22">
        <v>150</v>
      </c>
      <c r="H110" s="21">
        <v>45723.812731481485</v>
      </c>
    </row>
    <row r="111" spans="1:8">
      <c r="A111" s="1" t="s">
        <v>389</v>
      </c>
      <c r="B111" s="1" t="s">
        <v>18</v>
      </c>
      <c r="C111" s="1" t="s">
        <v>358</v>
      </c>
      <c r="D111" s="1" t="s">
        <v>272</v>
      </c>
      <c r="E111" s="1" t="s">
        <v>31</v>
      </c>
      <c r="F111" s="22">
        <v>-24</v>
      </c>
      <c r="G111" s="22">
        <v>20.777999999999999</v>
      </c>
      <c r="H111" s="21">
        <v>45723.812731481485</v>
      </c>
    </row>
    <row r="112" spans="1:8">
      <c r="A112" s="1" t="s">
        <v>390</v>
      </c>
      <c r="B112" s="1" t="s">
        <v>18</v>
      </c>
      <c r="C112" s="1" t="s">
        <v>358</v>
      </c>
      <c r="D112" s="1" t="s">
        <v>286</v>
      </c>
      <c r="E112" s="1" t="s">
        <v>34</v>
      </c>
      <c r="F112" s="22">
        <v>-9.33</v>
      </c>
      <c r="G112" s="22">
        <v>1005.67</v>
      </c>
      <c r="H112" s="21">
        <v>45723.812731481485</v>
      </c>
    </row>
    <row r="113" spans="1:8">
      <c r="A113" s="1" t="s">
        <v>391</v>
      </c>
      <c r="B113" s="1" t="s">
        <v>18</v>
      </c>
      <c r="C113" s="1" t="s">
        <v>358</v>
      </c>
      <c r="D113" s="1" t="s">
        <v>288</v>
      </c>
      <c r="E113" s="1" t="s">
        <v>35</v>
      </c>
      <c r="F113" s="22">
        <v>-58</v>
      </c>
      <c r="G113" s="22">
        <v>-21.21</v>
      </c>
      <c r="H113" s="21">
        <v>45723.812731481485</v>
      </c>
    </row>
    <row r="114" spans="1:8">
      <c r="A114" s="1" t="s">
        <v>392</v>
      </c>
      <c r="B114" s="1" t="s">
        <v>18</v>
      </c>
      <c r="C114" s="1" t="s">
        <v>358</v>
      </c>
      <c r="D114" s="1" t="s">
        <v>290</v>
      </c>
      <c r="E114" s="1" t="s">
        <v>36</v>
      </c>
      <c r="F114" s="22">
        <v>-63</v>
      </c>
      <c r="G114" s="22">
        <v>-60.390999999999998</v>
      </c>
      <c r="H114" s="21">
        <v>45723.812731481485</v>
      </c>
    </row>
    <row r="115" spans="1:8">
      <c r="A115" s="1" t="s">
        <v>393</v>
      </c>
      <c r="B115" s="1" t="s">
        <v>18</v>
      </c>
      <c r="C115" s="1" t="s">
        <v>358</v>
      </c>
      <c r="D115" s="1" t="s">
        <v>292</v>
      </c>
      <c r="E115" s="1" t="s">
        <v>32</v>
      </c>
      <c r="F115" s="22">
        <v>-12</v>
      </c>
      <c r="G115" s="22">
        <v>-12</v>
      </c>
      <c r="H115" s="21">
        <v>45723.812731481485</v>
      </c>
    </row>
    <row r="116" spans="1:8">
      <c r="A116" s="1" t="s">
        <v>394</v>
      </c>
      <c r="B116" s="1" t="s">
        <v>18</v>
      </c>
      <c r="C116" s="1" t="s">
        <v>358</v>
      </c>
      <c r="D116" s="1" t="s">
        <v>299</v>
      </c>
      <c r="E116" s="1" t="s">
        <v>43</v>
      </c>
      <c r="F116" s="22">
        <v>-39.5</v>
      </c>
      <c r="G116" s="22">
        <v>-28.776</v>
      </c>
      <c r="H116" s="21">
        <v>45723.812731481485</v>
      </c>
    </row>
    <row r="117" spans="1:8">
      <c r="A117" s="1" t="s">
        <v>395</v>
      </c>
      <c r="B117" s="1" t="s">
        <v>18</v>
      </c>
      <c r="C117" s="1" t="s">
        <v>358</v>
      </c>
      <c r="D117" s="1" t="s">
        <v>306</v>
      </c>
      <c r="E117" s="1" t="s">
        <v>48</v>
      </c>
      <c r="F117" s="22">
        <v>-20</v>
      </c>
      <c r="G117" s="22">
        <v>-17</v>
      </c>
      <c r="H117" s="21">
        <v>45723.812731481485</v>
      </c>
    </row>
    <row r="118" spans="1:8">
      <c r="A118" s="1" t="s">
        <v>396</v>
      </c>
      <c r="B118" s="1" t="s">
        <v>18</v>
      </c>
      <c r="C118" s="1" t="s">
        <v>127</v>
      </c>
      <c r="D118" s="1" t="s">
        <v>97</v>
      </c>
      <c r="E118" s="1" t="s">
        <v>74</v>
      </c>
      <c r="F118" s="22">
        <v>309</v>
      </c>
      <c r="G118" s="22">
        <v>0</v>
      </c>
      <c r="H118" s="21">
        <v>45723.814675925925</v>
      </c>
    </row>
    <row r="119" spans="1:8">
      <c r="A119" s="1" t="s">
        <v>397</v>
      </c>
      <c r="B119" s="1" t="s">
        <v>18</v>
      </c>
      <c r="C119" s="1" t="s">
        <v>127</v>
      </c>
      <c r="D119" s="1" t="s">
        <v>99</v>
      </c>
      <c r="E119" s="1" t="s">
        <v>19</v>
      </c>
      <c r="F119" s="22">
        <v>100</v>
      </c>
      <c r="G119" s="22">
        <v>0</v>
      </c>
      <c r="H119" s="21">
        <v>45723.814675925925</v>
      </c>
    </row>
    <row r="120" spans="1:8">
      <c r="A120" s="1" t="s">
        <v>398</v>
      </c>
      <c r="B120" s="1" t="s">
        <v>18</v>
      </c>
      <c r="C120" s="1" t="s">
        <v>127</v>
      </c>
      <c r="D120" s="1" t="s">
        <v>257</v>
      </c>
      <c r="E120" s="1" t="s">
        <v>23</v>
      </c>
      <c r="F120" s="22">
        <v>1223</v>
      </c>
      <c r="G120" s="22">
        <v>0</v>
      </c>
      <c r="H120" s="21">
        <v>45723.814675925925</v>
      </c>
    </row>
    <row r="121" spans="1:8">
      <c r="A121" s="1" t="s">
        <v>399</v>
      </c>
      <c r="B121" s="1" t="s">
        <v>18</v>
      </c>
      <c r="C121" s="1" t="s">
        <v>127</v>
      </c>
      <c r="D121" s="1" t="s">
        <v>288</v>
      </c>
      <c r="E121" s="1" t="s">
        <v>35</v>
      </c>
      <c r="F121" s="22">
        <v>21.21</v>
      </c>
      <c r="G121" s="22">
        <v>0</v>
      </c>
      <c r="H121" s="21">
        <v>45723.814675925925</v>
      </c>
    </row>
    <row r="122" spans="1:8">
      <c r="A122" s="1" t="s">
        <v>400</v>
      </c>
      <c r="B122" s="1" t="s">
        <v>18</v>
      </c>
      <c r="C122" s="1" t="s">
        <v>127</v>
      </c>
      <c r="D122" s="1" t="s">
        <v>290</v>
      </c>
      <c r="E122" s="1" t="s">
        <v>36</v>
      </c>
      <c r="F122" s="22">
        <v>60.39</v>
      </c>
      <c r="G122" s="22">
        <v>-9.9999999999766942E-4</v>
      </c>
      <c r="H122" s="21">
        <v>45723.814675925925</v>
      </c>
    </row>
    <row r="123" spans="1:8">
      <c r="A123" s="1" t="s">
        <v>401</v>
      </c>
      <c r="B123" s="1" t="s">
        <v>18</v>
      </c>
      <c r="C123" s="1" t="s">
        <v>127</v>
      </c>
      <c r="D123" s="1" t="s">
        <v>292</v>
      </c>
      <c r="E123" s="1" t="s">
        <v>32</v>
      </c>
      <c r="F123" s="22">
        <v>12</v>
      </c>
      <c r="G123" s="22">
        <v>0</v>
      </c>
      <c r="H123" s="21">
        <v>45723.814675925925</v>
      </c>
    </row>
    <row r="124" spans="1:8">
      <c r="A124" s="1" t="s">
        <v>402</v>
      </c>
      <c r="B124" s="1" t="s">
        <v>18</v>
      </c>
      <c r="C124" s="1" t="s">
        <v>127</v>
      </c>
      <c r="D124" s="1" t="s">
        <v>299</v>
      </c>
      <c r="E124" s="1" t="s">
        <v>43</v>
      </c>
      <c r="F124" s="22">
        <v>28.78</v>
      </c>
      <c r="G124" s="22">
        <v>4.0000000000013358E-3</v>
      </c>
      <c r="H124" s="21">
        <v>45723.814675925925</v>
      </c>
    </row>
    <row r="125" spans="1:8">
      <c r="A125" s="1" t="s">
        <v>403</v>
      </c>
      <c r="B125" s="1" t="s">
        <v>18</v>
      </c>
      <c r="C125" s="1" t="s">
        <v>127</v>
      </c>
      <c r="D125" s="1" t="s">
        <v>306</v>
      </c>
      <c r="E125" s="1" t="s">
        <v>48</v>
      </c>
      <c r="F125" s="22">
        <v>17</v>
      </c>
      <c r="G125" s="22">
        <v>0</v>
      </c>
      <c r="H125" s="21">
        <v>45723.814675925925</v>
      </c>
    </row>
    <row r="126" spans="1:8">
      <c r="A126" s="1" t="s">
        <v>405</v>
      </c>
      <c r="B126" s="1" t="s">
        <v>18</v>
      </c>
      <c r="C126" s="1" t="s">
        <v>210</v>
      </c>
      <c r="D126" s="1" t="s">
        <v>91</v>
      </c>
      <c r="E126" s="1" t="s">
        <v>11</v>
      </c>
      <c r="F126" s="22">
        <v>100</v>
      </c>
      <c r="G126" s="22">
        <v>400</v>
      </c>
      <c r="H126" s="21">
        <v>45724.623877314814</v>
      </c>
    </row>
    <row r="127" spans="1:8">
      <c r="A127" s="1" t="s">
        <v>406</v>
      </c>
      <c r="B127" s="1" t="s">
        <v>18</v>
      </c>
      <c r="C127" s="1" t="s">
        <v>210</v>
      </c>
      <c r="D127" s="1" t="s">
        <v>92</v>
      </c>
      <c r="E127" s="1" t="s">
        <v>14</v>
      </c>
      <c r="F127" s="22">
        <v>10</v>
      </c>
      <c r="G127" s="22">
        <v>310</v>
      </c>
      <c r="H127" s="21">
        <v>45724.643657407411</v>
      </c>
    </row>
    <row r="128" spans="1:8">
      <c r="A128" s="1" t="s">
        <v>407</v>
      </c>
      <c r="B128" s="1" t="s">
        <v>18</v>
      </c>
      <c r="C128" s="1" t="s">
        <v>211</v>
      </c>
      <c r="D128" s="1" t="s">
        <v>93</v>
      </c>
      <c r="E128" s="1" t="s">
        <v>15</v>
      </c>
      <c r="F128" s="22">
        <v>-10</v>
      </c>
      <c r="G128" s="22">
        <v>290</v>
      </c>
      <c r="H128" s="21">
        <v>45724.643842592595</v>
      </c>
    </row>
    <row r="129" spans="1:8">
      <c r="A129" s="1" t="s">
        <v>408</v>
      </c>
      <c r="B129" s="1" t="s">
        <v>18</v>
      </c>
      <c r="C129" s="1" t="s">
        <v>348</v>
      </c>
      <c r="D129" s="1" t="s">
        <v>94</v>
      </c>
      <c r="E129" s="1" t="s">
        <v>70</v>
      </c>
      <c r="F129" s="22">
        <v>10</v>
      </c>
      <c r="G129" s="22">
        <v>210</v>
      </c>
      <c r="H129" s="21">
        <v>45724.643923611111</v>
      </c>
    </row>
    <row r="130" spans="1:8">
      <c r="A130" s="1" t="s">
        <v>409</v>
      </c>
      <c r="B130" s="1" t="s">
        <v>18</v>
      </c>
      <c r="C130" s="1" t="s">
        <v>358</v>
      </c>
      <c r="D130" s="1" t="s">
        <v>91</v>
      </c>
      <c r="E130" s="1" t="s">
        <v>11</v>
      </c>
      <c r="F130" s="22">
        <v>-100</v>
      </c>
      <c r="G130" s="22">
        <v>300</v>
      </c>
      <c r="H130" s="21">
        <v>45724.64398148148</v>
      </c>
    </row>
    <row r="131" spans="1:8">
      <c r="A131" s="1" t="s">
        <v>410</v>
      </c>
      <c r="B131" s="1" t="s">
        <v>18</v>
      </c>
      <c r="C131" s="1" t="s">
        <v>358</v>
      </c>
      <c r="D131" s="1" t="s">
        <v>95</v>
      </c>
      <c r="E131" s="1" t="s">
        <v>71</v>
      </c>
      <c r="F131" s="22">
        <v>-10</v>
      </c>
      <c r="G131" s="22">
        <v>90</v>
      </c>
      <c r="H131" s="21">
        <v>45724.64398148148</v>
      </c>
    </row>
    <row r="132" spans="1:8">
      <c r="A132" s="1" t="s">
        <v>411</v>
      </c>
      <c r="B132" s="1" t="s">
        <v>18</v>
      </c>
      <c r="C132" s="1" t="s">
        <v>358</v>
      </c>
      <c r="D132" s="1" t="s">
        <v>305</v>
      </c>
      <c r="E132" s="1" t="s">
        <v>47</v>
      </c>
      <c r="F132" s="22">
        <v>-50</v>
      </c>
      <c r="G132" s="22">
        <v>-44.595500000000001</v>
      </c>
      <c r="H132" s="21">
        <v>45724.64398148148</v>
      </c>
    </row>
    <row r="133" spans="1:8">
      <c r="A133" s="1" t="s">
        <v>412</v>
      </c>
      <c r="B133" s="1" t="s">
        <v>18</v>
      </c>
      <c r="C133" s="1" t="s">
        <v>358</v>
      </c>
      <c r="D133" s="1" t="s">
        <v>307</v>
      </c>
      <c r="E133" s="1" t="s">
        <v>49</v>
      </c>
      <c r="F133" s="22">
        <v>-70</v>
      </c>
      <c r="G133" s="22">
        <v>-68.242000000000004</v>
      </c>
      <c r="H133" s="21">
        <v>45724.64398148148</v>
      </c>
    </row>
    <row r="134" spans="1:8">
      <c r="A134" s="1" t="s">
        <v>413</v>
      </c>
      <c r="B134" s="1" t="s">
        <v>18</v>
      </c>
      <c r="C134" s="1" t="s">
        <v>127</v>
      </c>
      <c r="D134" s="1" t="s">
        <v>96</v>
      </c>
      <c r="E134" s="1" t="s">
        <v>67</v>
      </c>
      <c r="F134" s="22">
        <v>10</v>
      </c>
      <c r="G134" s="22">
        <v>210</v>
      </c>
      <c r="H134" s="21">
        <v>45724.644085648149</v>
      </c>
    </row>
    <row r="135" spans="1:8">
      <c r="A135" s="1" t="s">
        <v>414</v>
      </c>
      <c r="B135" s="1" t="s">
        <v>18</v>
      </c>
      <c r="C135" s="1" t="s">
        <v>210</v>
      </c>
      <c r="D135" s="1" t="s">
        <v>91</v>
      </c>
      <c r="E135" s="1" t="s">
        <v>11</v>
      </c>
      <c r="F135" s="22">
        <v>10</v>
      </c>
      <c r="G135" s="22">
        <v>310</v>
      </c>
      <c r="H135" s="21">
        <v>45724.645497685182</v>
      </c>
    </row>
    <row r="136" spans="1:8">
      <c r="A136" s="1" t="s">
        <v>415</v>
      </c>
      <c r="B136" s="1" t="s">
        <v>18</v>
      </c>
      <c r="C136" s="1" t="s">
        <v>211</v>
      </c>
      <c r="D136" s="1" t="s">
        <v>286</v>
      </c>
      <c r="E136" s="1" t="s">
        <v>34</v>
      </c>
      <c r="F136" s="22">
        <v>-10</v>
      </c>
      <c r="G136" s="22">
        <v>995.67</v>
      </c>
      <c r="H136" s="21">
        <v>45724.645902777775</v>
      </c>
    </row>
    <row r="137" spans="1:8">
      <c r="A137" s="1" t="s">
        <v>416</v>
      </c>
      <c r="B137" s="1" t="s">
        <v>18</v>
      </c>
      <c r="C137" s="1" t="s">
        <v>348</v>
      </c>
      <c r="D137" s="1" t="s">
        <v>284</v>
      </c>
      <c r="E137" s="1" t="s">
        <v>33</v>
      </c>
      <c r="F137" s="22">
        <v>10</v>
      </c>
      <c r="G137" s="22">
        <v>77.03</v>
      </c>
      <c r="H137" s="21">
        <v>45724.646192129629</v>
      </c>
    </row>
    <row r="138" spans="1:8">
      <c r="A138" s="1" t="s">
        <v>417</v>
      </c>
      <c r="B138" s="1" t="s">
        <v>18</v>
      </c>
      <c r="C138" s="1" t="s">
        <v>358</v>
      </c>
      <c r="D138" s="1" t="s">
        <v>256</v>
      </c>
      <c r="E138" s="1" t="s">
        <v>22</v>
      </c>
      <c r="F138" s="22">
        <v>-10</v>
      </c>
      <c r="G138" s="22">
        <v>1890</v>
      </c>
      <c r="H138" s="21">
        <v>45724.646469907406</v>
      </c>
    </row>
    <row r="139" spans="1:8">
      <c r="A139" s="1" t="s">
        <v>418</v>
      </c>
      <c r="B139" s="1" t="s">
        <v>18</v>
      </c>
      <c r="C139" s="1" t="s">
        <v>127</v>
      </c>
      <c r="D139" s="1" t="s">
        <v>102</v>
      </c>
      <c r="E139" s="1" t="s">
        <v>23</v>
      </c>
      <c r="F139" s="22">
        <v>-10</v>
      </c>
      <c r="G139" s="22">
        <v>7670</v>
      </c>
      <c r="H139" s="21">
        <v>45724.64671296296</v>
      </c>
    </row>
    <row r="140" spans="1:8">
      <c r="A140" s="1" t="s">
        <v>419</v>
      </c>
      <c r="B140" s="1" t="s">
        <v>18</v>
      </c>
      <c r="C140" s="1" t="s">
        <v>358</v>
      </c>
      <c r="D140" s="1" t="s">
        <v>92</v>
      </c>
      <c r="E140" s="1" t="s">
        <v>14</v>
      </c>
      <c r="F140" s="22">
        <v>-100</v>
      </c>
      <c r="G140" s="22">
        <v>210</v>
      </c>
      <c r="H140" s="21">
        <v>45724.81355324074</v>
      </c>
    </row>
    <row r="141" spans="1:8">
      <c r="A141" s="1" t="s">
        <v>420</v>
      </c>
      <c r="B141" s="1" t="s">
        <v>18</v>
      </c>
      <c r="C141" s="1" t="s">
        <v>358</v>
      </c>
      <c r="D141" s="1" t="s">
        <v>96</v>
      </c>
      <c r="E141" s="1" t="s">
        <v>67</v>
      </c>
      <c r="F141" s="22">
        <v>-100</v>
      </c>
      <c r="G141" s="22">
        <v>110</v>
      </c>
      <c r="H141" s="21">
        <v>45724.81355324074</v>
      </c>
    </row>
    <row r="142" spans="1:8">
      <c r="A142" s="1" t="s">
        <v>421</v>
      </c>
      <c r="B142" s="1" t="s">
        <v>18</v>
      </c>
      <c r="C142" s="1" t="s">
        <v>358</v>
      </c>
      <c r="D142" s="1" t="s">
        <v>293</v>
      </c>
      <c r="E142" s="1" t="s">
        <v>37</v>
      </c>
      <c r="F142" s="22">
        <v>-24</v>
      </c>
      <c r="G142" s="22">
        <v>550</v>
      </c>
      <c r="H142" s="21">
        <v>45724.81355324074</v>
      </c>
    </row>
    <row r="143" spans="1:8">
      <c r="A143" s="1" t="s">
        <v>422</v>
      </c>
      <c r="B143" s="1" t="s">
        <v>18</v>
      </c>
      <c r="C143" s="1" t="s">
        <v>358</v>
      </c>
      <c r="D143" s="1" t="s">
        <v>295</v>
      </c>
      <c r="E143" s="1" t="s">
        <v>38</v>
      </c>
      <c r="F143" s="22">
        <v>-20</v>
      </c>
      <c r="G143" s="22">
        <v>2719</v>
      </c>
      <c r="H143" s="21">
        <v>45724.81355324074</v>
      </c>
    </row>
    <row r="144" spans="1:8">
      <c r="A144" s="1" t="s">
        <v>500</v>
      </c>
      <c r="B144" s="1" t="s">
        <v>18</v>
      </c>
      <c r="C144" s="1" t="s">
        <v>210</v>
      </c>
      <c r="D144" s="1" t="s">
        <v>91</v>
      </c>
      <c r="E144" s="1" t="s">
        <v>11</v>
      </c>
      <c r="F144" s="22">
        <v>100</v>
      </c>
      <c r="G144" s="22">
        <v>410</v>
      </c>
      <c r="H144" s="21">
        <v>45825.516423611109</v>
      </c>
    </row>
    <row r="147" spans="8:8">
      <c r="H147" s="21"/>
    </row>
    <row r="148" spans="8:8">
      <c r="H148" s="21"/>
    </row>
    <row r="149" spans="8:8">
      <c r="H149" s="21"/>
    </row>
    <row r="150" spans="8:8">
      <c r="H150" s="21"/>
    </row>
    <row r="151" spans="8:8">
      <c r="H151" s="21"/>
    </row>
    <row r="152" spans="8:8">
      <c r="H152" s="21"/>
    </row>
    <row r="153" spans="8:8">
      <c r="H153" s="21"/>
    </row>
    <row r="154" spans="8:8">
      <c r="H154" s="21"/>
    </row>
    <row r="155" spans="8:8">
      <c r="H155" s="21"/>
    </row>
    <row r="156" spans="8:8">
      <c r="H156" s="21"/>
    </row>
    <row r="157" spans="8:8">
      <c r="H157" s="21"/>
    </row>
    <row r="158" spans="8:8">
      <c r="H158" s="21"/>
    </row>
    <row r="159" spans="8:8">
      <c r="H159" s="21"/>
    </row>
    <row r="160" spans="8:8">
      <c r="H160" s="21"/>
    </row>
    <row r="161" spans="8:8">
      <c r="H161" s="21"/>
    </row>
    <row r="162" spans="8:8">
      <c r="H162" s="21"/>
    </row>
    <row r="163" spans="8:8">
      <c r="H163" s="21"/>
    </row>
    <row r="164" spans="8:8">
      <c r="H164" s="21"/>
    </row>
    <row r="165" spans="8:8">
      <c r="H165" s="21"/>
    </row>
    <row r="166" spans="8:8">
      <c r="H166" s="21"/>
    </row>
    <row r="167" spans="8:8">
      <c r="H167" s="21"/>
    </row>
    <row r="168" spans="8:8">
      <c r="H168" s="21"/>
    </row>
    <row r="169" spans="8:8">
      <c r="H169" s="21"/>
    </row>
    <row r="170" spans="8:8">
      <c r="H170" s="21"/>
    </row>
    <row r="171" spans="8:8">
      <c r="H171" s="21"/>
    </row>
    <row r="172" spans="8:8">
      <c r="H172" s="21"/>
    </row>
    <row r="173" spans="8:8">
      <c r="H173" s="21"/>
    </row>
    <row r="174" spans="8:8">
      <c r="H174" s="21"/>
    </row>
    <row r="175" spans="8:8">
      <c r="H175" s="21"/>
    </row>
    <row r="176" spans="8:8">
      <c r="H176" s="21"/>
    </row>
  </sheetData>
  <pageMargins left="0.7" right="0.7" top="0.75" bottom="0.75" header="0.3" footer="0.3"/>
  <pageSetup orientation="landscape"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3BB66-D92B-47D1-B903-867D0994BE2A}">
  <sheetPr codeName="ProductionLog"/>
  <dimension ref="A1"/>
  <sheetViews>
    <sheetView workbookViewId="0">
      <selection activeCell="I28" sqref="I28"/>
    </sheetView>
  </sheetViews>
  <sheetFormatPr defaultRowHeight="16"/>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BF4ED-274C-4864-915D-B9B84C2EA279}">
  <sheetPr codeName="ReceivedLog"/>
  <dimension ref="A1:J6"/>
  <sheetViews>
    <sheetView workbookViewId="0">
      <selection activeCell="M27" sqref="M27"/>
    </sheetView>
  </sheetViews>
  <sheetFormatPr defaultRowHeight="16"/>
  <cols>
    <col min="1" max="3" width="17" customWidth="1"/>
    <col min="4" max="4" width="12.5" customWidth="1"/>
    <col min="5" max="5" width="16.33203125" customWidth="1"/>
    <col min="6" max="6" width="18.08203125" customWidth="1"/>
    <col min="7" max="7" width="15.83203125" customWidth="1"/>
    <col min="8" max="8" width="12.25" customWidth="1"/>
    <col min="9" max="9" width="13.08203125" customWidth="1"/>
    <col min="10" max="10" width="14.08203125" bestFit="1" customWidth="1"/>
  </cols>
  <sheetData>
    <row r="1" spans="1:10">
      <c r="A1" t="s">
        <v>501</v>
      </c>
      <c r="B1" t="s">
        <v>170</v>
      </c>
      <c r="C1" t="s">
        <v>168</v>
      </c>
      <c r="D1" t="s">
        <v>428</v>
      </c>
      <c r="E1" t="s">
        <v>4</v>
      </c>
      <c r="F1" t="s">
        <v>482</v>
      </c>
      <c r="G1" t="s">
        <v>5</v>
      </c>
      <c r="H1" t="s">
        <v>106</v>
      </c>
      <c r="I1" t="s">
        <v>423</v>
      </c>
      <c r="J1" t="s">
        <v>483</v>
      </c>
    </row>
    <row r="2" spans="1:10">
      <c r="A2">
        <v>100</v>
      </c>
      <c r="B2" t="s">
        <v>22</v>
      </c>
      <c r="C2">
        <v>40000</v>
      </c>
      <c r="D2">
        <v>200</v>
      </c>
      <c r="E2" t="s">
        <v>12</v>
      </c>
      <c r="G2" t="s">
        <v>13</v>
      </c>
      <c r="H2" t="s">
        <v>256</v>
      </c>
      <c r="I2">
        <v>12</v>
      </c>
      <c r="J2" s="55">
        <v>45827.76053240741</v>
      </c>
    </row>
    <row r="3" spans="1:10">
      <c r="A3">
        <v>101</v>
      </c>
      <c r="B3" t="s">
        <v>23</v>
      </c>
      <c r="C3">
        <v>10000</v>
      </c>
      <c r="D3">
        <v>10000</v>
      </c>
      <c r="E3" t="s">
        <v>12</v>
      </c>
      <c r="G3" t="s">
        <v>13</v>
      </c>
      <c r="H3" t="s">
        <v>257</v>
      </c>
      <c r="I3">
        <v>13</v>
      </c>
      <c r="J3" s="55">
        <v>45827.760949074072</v>
      </c>
    </row>
    <row r="4" spans="1:10">
      <c r="A4">
        <v>102</v>
      </c>
      <c r="B4" t="s">
        <v>23</v>
      </c>
      <c r="C4">
        <v>25000</v>
      </c>
      <c r="D4">
        <v>25000</v>
      </c>
      <c r="E4" t="s">
        <v>12</v>
      </c>
      <c r="G4" t="s">
        <v>13</v>
      </c>
      <c r="H4" t="s">
        <v>257</v>
      </c>
      <c r="I4">
        <v>13</v>
      </c>
      <c r="J4" s="55">
        <v>45827.761192129627</v>
      </c>
    </row>
    <row r="5" spans="1:10">
      <c r="A5">
        <v>103</v>
      </c>
      <c r="B5" t="s">
        <v>22</v>
      </c>
      <c r="C5">
        <v>40000</v>
      </c>
      <c r="D5">
        <v>200</v>
      </c>
      <c r="E5" t="s">
        <v>12</v>
      </c>
      <c r="G5" t="s">
        <v>13</v>
      </c>
      <c r="H5" t="s">
        <v>256</v>
      </c>
      <c r="I5">
        <v>12</v>
      </c>
      <c r="J5" s="55">
        <v>45827.76189814815</v>
      </c>
    </row>
    <row r="6" spans="1:10">
      <c r="A6">
        <v>104</v>
      </c>
      <c r="B6" t="s">
        <v>23</v>
      </c>
      <c r="C6">
        <v>35000</v>
      </c>
      <c r="D6">
        <v>35000</v>
      </c>
      <c r="E6" t="s">
        <v>12</v>
      </c>
      <c r="G6" t="s">
        <v>13</v>
      </c>
      <c r="H6" t="s">
        <v>257</v>
      </c>
      <c r="I6">
        <v>13</v>
      </c>
      <c r="J6" s="55">
        <v>45827.762083333335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2A915-13EC-4FD8-B334-F356035C88AC}">
  <sheetPr codeName="ShipmentsLog"/>
  <dimension ref="A1:I4"/>
  <sheetViews>
    <sheetView workbookViewId="0">
      <selection activeCell="M21" sqref="M21"/>
    </sheetView>
  </sheetViews>
  <sheetFormatPr defaultRowHeight="16"/>
  <cols>
    <col min="1" max="1" width="16.58203125" customWidth="1"/>
    <col min="3" max="3" width="11.08203125" customWidth="1"/>
    <col min="4" max="4" width="14.08203125" bestFit="1" customWidth="1"/>
    <col min="5" max="5" width="9.75" customWidth="1"/>
    <col min="6" max="6" width="11.33203125" customWidth="1"/>
    <col min="7" max="7" width="12.25" customWidth="1"/>
    <col min="9" max="9" width="13.08203125" customWidth="1"/>
  </cols>
  <sheetData>
    <row r="1" spans="1:9">
      <c r="A1" t="s">
        <v>169</v>
      </c>
      <c r="B1" t="s">
        <v>170</v>
      </c>
      <c r="C1" t="s">
        <v>168</v>
      </c>
      <c r="D1" t="s">
        <v>4</v>
      </c>
      <c r="E1" t="s">
        <v>482</v>
      </c>
      <c r="F1" t="s">
        <v>5</v>
      </c>
      <c r="G1" t="s">
        <v>106</v>
      </c>
      <c r="H1" t="s">
        <v>423</v>
      </c>
      <c r="I1" t="s">
        <v>483</v>
      </c>
    </row>
    <row r="2" spans="1:9">
      <c r="A2">
        <v>100</v>
      </c>
      <c r="B2" t="s">
        <v>38</v>
      </c>
      <c r="C2">
        <v>4</v>
      </c>
      <c r="D2" t="s">
        <v>12</v>
      </c>
      <c r="F2" t="s">
        <v>13</v>
      </c>
      <c r="G2" t="s">
        <v>295</v>
      </c>
      <c r="H2">
        <v>34</v>
      </c>
      <c r="I2" s="55">
        <v>45827.788738425923</v>
      </c>
    </row>
    <row r="3" spans="1:9">
      <c r="A3">
        <v>101</v>
      </c>
      <c r="B3" t="s">
        <v>37</v>
      </c>
      <c r="C3">
        <v>12</v>
      </c>
      <c r="D3" t="s">
        <v>12</v>
      </c>
      <c r="F3" t="s">
        <v>13</v>
      </c>
      <c r="G3" t="s">
        <v>293</v>
      </c>
      <c r="H3">
        <v>33</v>
      </c>
      <c r="I3" s="55">
        <v>45827.789131944446</v>
      </c>
    </row>
    <row r="4" spans="1:9">
      <c r="A4">
        <v>102</v>
      </c>
      <c r="B4" t="s">
        <v>38</v>
      </c>
      <c r="C4">
        <v>12</v>
      </c>
      <c r="D4" t="s">
        <v>12</v>
      </c>
      <c r="F4" t="s">
        <v>13</v>
      </c>
      <c r="G4" t="s">
        <v>295</v>
      </c>
      <c r="H4">
        <v>34</v>
      </c>
      <c r="I4" s="55">
        <v>45827.789421296293</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96232-D0ED-4363-B1B4-62F1F85CC2A7}">
  <sheetPr codeName="Codes"/>
  <dimension ref="A1:E4"/>
  <sheetViews>
    <sheetView workbookViewId="0">
      <selection activeCell="I7" sqref="I7"/>
    </sheetView>
  </sheetViews>
  <sheetFormatPr defaultRowHeight="16"/>
  <cols>
    <col min="1" max="1" width="22.58203125" style="66" bestFit="1" customWidth="1"/>
    <col min="2" max="2" width="13.08203125" bestFit="1" customWidth="1"/>
    <col min="4" max="4" width="14.08203125" customWidth="1"/>
    <col min="5" max="5" width="10.83203125" customWidth="1"/>
  </cols>
  <sheetData>
    <row r="1" spans="1:5">
      <c r="A1" s="66" t="s">
        <v>495</v>
      </c>
      <c r="B1" t="s">
        <v>496</v>
      </c>
      <c r="D1" t="s">
        <v>497</v>
      </c>
      <c r="E1" t="s">
        <v>498</v>
      </c>
    </row>
    <row r="2" spans="1:5">
      <c r="A2" s="66" t="s">
        <v>492</v>
      </c>
      <c r="D2" t="s">
        <v>318</v>
      </c>
    </row>
    <row r="3" spans="1:5">
      <c r="A3" s="66" t="s">
        <v>493</v>
      </c>
    </row>
    <row r="4" spans="1:5">
      <c r="A4" s="66" t="s">
        <v>494</v>
      </c>
    </row>
  </sheetData>
  <pageMargins left="0.7" right="0.7" top="0.75" bottom="0.75" header="0.3" footer="0.3"/>
  <legacyDrawing r:id="rId1"/>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A7265-358A-4939-AD66-134C3F2F5163}">
  <sheetPr codeName="Sheet1"/>
  <dimension ref="A3:J15"/>
  <sheetViews>
    <sheetView workbookViewId="0">
      <selection activeCell="I25" sqref="I25"/>
    </sheetView>
  </sheetViews>
  <sheetFormatPr defaultRowHeight="16"/>
  <cols>
    <col min="1" max="1" width="13.83203125" bestFit="1" customWidth="1"/>
    <col min="2" max="2" width="18.58203125" bestFit="1" customWidth="1"/>
    <col min="3" max="3" width="19.33203125" bestFit="1" customWidth="1"/>
    <col min="4" max="4" width="10.08203125" bestFit="1" customWidth="1"/>
    <col min="9" max="9" width="44" customWidth="1"/>
    <col min="10" max="10" width="52.5" customWidth="1"/>
  </cols>
  <sheetData>
    <row r="3" spans="1:10">
      <c r="A3" s="19" t="s">
        <v>520</v>
      </c>
      <c r="B3" s="19" t="s">
        <v>521</v>
      </c>
      <c r="C3" s="19" t="s">
        <v>522</v>
      </c>
      <c r="D3" s="19" t="s">
        <v>523</v>
      </c>
      <c r="E3" s="19" t="s">
        <v>524</v>
      </c>
    </row>
    <row r="4" spans="1:10">
      <c r="A4" s="19"/>
    </row>
    <row r="5" spans="1:10">
      <c r="A5" s="19"/>
    </row>
    <row r="6" spans="1:10">
      <c r="A6" s="19"/>
    </row>
    <row r="10" spans="1:10">
      <c r="H10" s="71" t="s">
        <v>525</v>
      </c>
      <c r="I10" s="71" t="s">
        <v>526</v>
      </c>
      <c r="J10" s="71" t="s">
        <v>527</v>
      </c>
    </row>
    <row r="11" spans="1:10" ht="46.5">
      <c r="H11" s="72" t="s">
        <v>528</v>
      </c>
      <c r="I11" s="72" t="s">
        <v>529</v>
      </c>
      <c r="J11" s="72" t="s">
        <v>530</v>
      </c>
    </row>
    <row r="12" spans="1:10" ht="31">
      <c r="H12" s="72" t="s">
        <v>531</v>
      </c>
      <c r="I12" s="72" t="s">
        <v>532</v>
      </c>
      <c r="J12" s="72" t="s">
        <v>533</v>
      </c>
    </row>
    <row r="13" spans="1:10" ht="31">
      <c r="H13" s="72" t="s">
        <v>534</v>
      </c>
      <c r="I13" s="72" t="s">
        <v>535</v>
      </c>
      <c r="J13" s="72" t="s">
        <v>536</v>
      </c>
    </row>
    <row r="14" spans="1:10" ht="46.5">
      <c r="H14" s="72" t="s">
        <v>537</v>
      </c>
      <c r="I14" s="72" t="s">
        <v>538</v>
      </c>
      <c r="J14" s="72" t="s">
        <v>542</v>
      </c>
    </row>
    <row r="15" spans="1:10">
      <c r="H15" s="72" t="s">
        <v>539</v>
      </c>
      <c r="I15" s="72" t="s">
        <v>540</v>
      </c>
      <c r="J15" s="72" t="s">
        <v>541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0B9F1-BD04-47D9-89A3-406A30569BBC}">
  <sheetPr codeName="Emails"/>
  <dimension ref="A2:C4"/>
  <sheetViews>
    <sheetView workbookViewId="0">
      <selection activeCell="A2" sqref="A2:C2"/>
    </sheetView>
  </sheetViews>
  <sheetFormatPr defaultRowHeight="16"/>
  <cols>
    <col min="2" max="2" width="37.5" bestFit="1" customWidth="1"/>
    <col min="3" max="3" width="9.58203125" customWidth="1"/>
  </cols>
  <sheetData>
    <row r="2" spans="1:3">
      <c r="A2" t="s">
        <v>62</v>
      </c>
      <c r="B2" s="8" t="s">
        <v>89</v>
      </c>
      <c r="C2" s="11" t="s">
        <v>81</v>
      </c>
    </row>
    <row r="3" spans="1:3">
      <c r="A3" t="s">
        <v>105</v>
      </c>
      <c r="B3" s="9" t="s">
        <v>88</v>
      </c>
      <c r="C3" s="12" t="s">
        <v>87</v>
      </c>
    </row>
    <row r="4" spans="1:3">
      <c r="A4" t="s">
        <v>66</v>
      </c>
      <c r="B4" s="10" t="s">
        <v>90</v>
      </c>
      <c r="C4" s="13" t="s">
        <v>87</v>
      </c>
    </row>
  </sheetData>
  <hyperlinks>
    <hyperlink ref="B3" r:id="rId1" xr:uid="{3EBD9463-C898-4AF9-939B-85C2483575EB}"/>
    <hyperlink ref="B4" r:id="rId2" xr:uid="{57F65CFF-1B1F-486F-BC41-6CC6CDD94749}"/>
  </hyperlinks>
  <pageMargins left="0.7" right="0.7" top="0.75" bottom="0.75" header="0.3" footer="0.3"/>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CB1F2-4871-4F91-A735-6EDA84130721}">
  <sheetPr codeName="UserCredentials"/>
  <dimension ref="A1:I4"/>
  <sheetViews>
    <sheetView workbookViewId="0">
      <selection activeCell="I1" sqref="I1"/>
    </sheetView>
  </sheetViews>
  <sheetFormatPr defaultColWidth="9" defaultRowHeight="16"/>
  <cols>
    <col min="1" max="1" width="21.75" style="1" bestFit="1" customWidth="1"/>
    <col min="2" max="2" width="12.75" style="1" bestFit="1" customWidth="1"/>
    <col min="3" max="3" width="18.33203125" style="1" customWidth="1"/>
    <col min="4" max="4" width="7.58203125" style="1" bestFit="1" customWidth="1"/>
    <col min="5" max="5" width="9.83203125" style="1" bestFit="1" customWidth="1"/>
    <col min="6" max="6" width="18.83203125" style="1" customWidth="1"/>
    <col min="7" max="7" width="19" style="1" bestFit="1" customWidth="1"/>
    <col min="8" max="16384" width="9" style="1"/>
  </cols>
  <sheetData>
    <row r="1" spans="1:9">
      <c r="A1" s="1" t="s">
        <v>80</v>
      </c>
      <c r="B1" s="1" t="s">
        <v>79</v>
      </c>
      <c r="C1" s="1" t="s">
        <v>103</v>
      </c>
      <c r="D1" s="1" t="s">
        <v>81</v>
      </c>
      <c r="E1" s="1" t="s">
        <v>82</v>
      </c>
      <c r="F1" s="1" t="s">
        <v>83</v>
      </c>
      <c r="G1" s="1" t="s">
        <v>115</v>
      </c>
      <c r="I1" s="1" t="s">
        <v>116</v>
      </c>
    </row>
    <row r="2" spans="1:9">
      <c r="A2" s="1" t="s">
        <v>84</v>
      </c>
      <c r="B2" s="1" t="s">
        <v>18</v>
      </c>
      <c r="C2" s="1">
        <v>820419</v>
      </c>
      <c r="D2" s="1" t="s">
        <v>85</v>
      </c>
      <c r="E2" s="1" t="s">
        <v>119</v>
      </c>
      <c r="F2" s="21">
        <v>45697.905138888891</v>
      </c>
      <c r="G2" s="1" t="s">
        <v>86</v>
      </c>
      <c r="I2" s="1" t="s">
        <v>85</v>
      </c>
    </row>
    <row r="3" spans="1:9">
      <c r="A3" s="1" t="s">
        <v>120</v>
      </c>
      <c r="B3" s="1" t="s">
        <v>121</v>
      </c>
      <c r="C3" s="1">
        <v>738134</v>
      </c>
      <c r="D3" s="1" t="s">
        <v>117</v>
      </c>
      <c r="E3" s="1" t="s">
        <v>119</v>
      </c>
      <c r="F3" s="21">
        <v>45697.904583333337</v>
      </c>
      <c r="I3" s="1" t="s">
        <v>117</v>
      </c>
    </row>
    <row r="4" spans="1:9">
      <c r="A4" s="1" t="s">
        <v>122</v>
      </c>
      <c r="B4" s="1" t="s">
        <v>118</v>
      </c>
      <c r="C4" s="1">
        <v>621566</v>
      </c>
      <c r="D4" s="1" t="s">
        <v>85</v>
      </c>
      <c r="E4" s="1" t="s">
        <v>119</v>
      </c>
      <c r="F4" s="21">
        <v>45697.904120370367</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7F571-3F92-4505-8E8A-8F5E3E035107}">
  <sheetPr codeName="Notes"/>
  <dimension ref="A1:F121"/>
  <sheetViews>
    <sheetView topLeftCell="A61" workbookViewId="0"/>
  </sheetViews>
  <sheetFormatPr defaultColWidth="9" defaultRowHeight="16"/>
  <cols>
    <col min="1" max="1" width="11.25" style="1" bestFit="1" customWidth="1"/>
    <col min="2" max="16384" width="9" style="1"/>
  </cols>
  <sheetData>
    <row r="1" spans="1:6">
      <c r="A1" s="1" t="s">
        <v>131</v>
      </c>
    </row>
    <row r="3" spans="1:6">
      <c r="A3" s="1" t="s">
        <v>132</v>
      </c>
    </row>
    <row r="4" spans="1:6">
      <c r="A4" s="1" t="s">
        <v>133</v>
      </c>
    </row>
    <row r="5" spans="1:6">
      <c r="A5" s="1" t="s">
        <v>134</v>
      </c>
    </row>
    <row r="6" spans="1:6">
      <c r="A6" s="1" t="s">
        <v>135</v>
      </c>
    </row>
    <row r="7" spans="1:6">
      <c r="A7" s="1" t="s">
        <v>136</v>
      </c>
    </row>
    <row r="9" spans="1:6">
      <c r="A9" s="1" t="s">
        <v>137</v>
      </c>
    </row>
    <row r="11" spans="1:6">
      <c r="A11" s="1" t="s">
        <v>138</v>
      </c>
    </row>
    <row r="12" spans="1:6">
      <c r="A12" s="1" t="s">
        <v>139</v>
      </c>
    </row>
    <row r="13" spans="1:6">
      <c r="A13" s="24"/>
      <c r="B13" s="24"/>
      <c r="C13" s="24"/>
      <c r="D13" s="24"/>
      <c r="E13" s="24"/>
      <c r="F13" s="24"/>
    </row>
    <row r="14" spans="1:6">
      <c r="A14" s="23">
        <v>45700</v>
      </c>
    </row>
    <row r="15" spans="1:6">
      <c r="A15" s="1" t="s">
        <v>140</v>
      </c>
    </row>
    <row r="17" spans="1:6">
      <c r="A17" s="1" t="s">
        <v>141</v>
      </c>
    </row>
    <row r="19" spans="1:6">
      <c r="A19" s="1" t="s">
        <v>142</v>
      </c>
    </row>
    <row r="21" spans="1:6">
      <c r="A21" s="1" t="s">
        <v>143</v>
      </c>
    </row>
    <row r="23" spans="1:6">
      <c r="A23" s="1" t="s">
        <v>144</v>
      </c>
    </row>
    <row r="25" spans="1:6">
      <c r="A25" s="1" t="s">
        <v>145</v>
      </c>
    </row>
    <row r="27" spans="1:6">
      <c r="A27" s="1" t="s">
        <v>138</v>
      </c>
    </row>
    <row r="28" spans="1:6">
      <c r="A28" s="1" t="s">
        <v>139</v>
      </c>
    </row>
    <row r="29" spans="1:6">
      <c r="A29" s="23">
        <v>45700</v>
      </c>
    </row>
    <row r="30" spans="1:6">
      <c r="A30" s="24"/>
      <c r="B30" s="24"/>
      <c r="C30" s="24"/>
      <c r="D30" s="24"/>
      <c r="E30" s="24"/>
      <c r="F30" s="24"/>
    </row>
    <row r="31" spans="1:6">
      <c r="A31" s="26" t="s">
        <v>167</v>
      </c>
      <c r="B31" s="25"/>
      <c r="C31" s="25"/>
      <c r="D31" s="25"/>
      <c r="E31" s="25"/>
      <c r="F31" s="25" t="s">
        <v>166</v>
      </c>
    </row>
    <row r="32" spans="1:6">
      <c r="A32" s="1" t="s">
        <v>146</v>
      </c>
    </row>
    <row r="33" spans="1:6">
      <c r="A33" s="1" t="s">
        <v>147</v>
      </c>
    </row>
    <row r="34" spans="1:6">
      <c r="A34" s="1" t="s">
        <v>148</v>
      </c>
    </row>
    <row r="35" spans="1:6">
      <c r="A35" s="1" t="s">
        <v>149</v>
      </c>
    </row>
    <row r="36" spans="1:6">
      <c r="A36" s="1" t="s">
        <v>150</v>
      </c>
    </row>
    <row r="37" spans="1:6">
      <c r="A37" s="1" t="s">
        <v>151</v>
      </c>
    </row>
    <row r="38" spans="1:6">
      <c r="A38" s="1" t="s">
        <v>152</v>
      </c>
    </row>
    <row r="39" spans="1:6">
      <c r="A39" s="1" t="s">
        <v>153</v>
      </c>
    </row>
    <row r="40" spans="1:6">
      <c r="A40" s="1" t="s">
        <v>154</v>
      </c>
    </row>
    <row r="41" spans="1:6">
      <c r="A41" s="24"/>
      <c r="B41" s="24"/>
      <c r="C41" s="24"/>
      <c r="D41" s="24"/>
      <c r="E41" s="24"/>
      <c r="F41" s="24"/>
    </row>
    <row r="42" spans="1:6">
      <c r="A42" s="1" t="s">
        <v>155</v>
      </c>
    </row>
    <row r="43" spans="1:6">
      <c r="A43" s="1" t="s">
        <v>156</v>
      </c>
    </row>
    <row r="44" spans="1:6">
      <c r="A44" s="1" t="s">
        <v>157</v>
      </c>
    </row>
    <row r="45" spans="1:6">
      <c r="A45" s="1" t="s">
        <v>158</v>
      </c>
    </row>
    <row r="46" spans="1:6">
      <c r="A46" s="1" t="s">
        <v>159</v>
      </c>
    </row>
    <row r="47" spans="1:6">
      <c r="A47" s="1" t="s">
        <v>160</v>
      </c>
    </row>
    <row r="48" spans="1:6">
      <c r="A48" s="1" t="s">
        <v>161</v>
      </c>
    </row>
    <row r="49" spans="1:6">
      <c r="A49" s="1" t="s">
        <v>162</v>
      </c>
    </row>
    <row r="50" spans="1:6">
      <c r="A50" s="1" t="s">
        <v>163</v>
      </c>
    </row>
    <row r="51" spans="1:6">
      <c r="A51" s="1" t="s">
        <v>164</v>
      </c>
    </row>
    <row r="52" spans="1:6">
      <c r="A52" s="1" t="s">
        <v>165</v>
      </c>
    </row>
    <row r="53" spans="1:6">
      <c r="A53" s="24"/>
      <c r="B53" s="24"/>
      <c r="C53" s="24"/>
      <c r="D53" s="24"/>
      <c r="E53" s="24"/>
      <c r="F53" s="24"/>
    </row>
    <row r="54" spans="1:6" ht="20">
      <c r="A54" s="27" t="s">
        <v>174</v>
      </c>
    </row>
    <row r="55" spans="1:6" ht="20">
      <c r="A55" s="28" t="s">
        <v>175</v>
      </c>
    </row>
    <row r="56" spans="1:6" ht="20">
      <c r="A56" s="29" t="s">
        <v>176</v>
      </c>
    </row>
    <row r="57" spans="1:6" ht="20">
      <c r="A57" s="29" t="s">
        <v>177</v>
      </c>
    </row>
    <row r="58" spans="1:6" ht="20">
      <c r="A58" s="29" t="s">
        <v>178</v>
      </c>
    </row>
    <row r="59" spans="1:6" ht="20">
      <c r="A59" s="29" t="s">
        <v>179</v>
      </c>
    </row>
    <row r="60" spans="1:6" ht="20">
      <c r="A60" s="28" t="s">
        <v>180</v>
      </c>
    </row>
    <row r="61" spans="1:6" ht="20">
      <c r="A61" s="28" t="s">
        <v>181</v>
      </c>
    </row>
    <row r="62" spans="1:6" ht="20">
      <c r="A62" s="30" t="s">
        <v>182</v>
      </c>
    </row>
    <row r="63" spans="1:6">
      <c r="A63" s="31" t="s">
        <v>183</v>
      </c>
    </row>
    <row r="64" spans="1:6" ht="20">
      <c r="A64" s="28" t="s">
        <v>184</v>
      </c>
    </row>
    <row r="65" spans="1:6" ht="20">
      <c r="A65" s="30" t="s">
        <v>185</v>
      </c>
    </row>
    <row r="66" spans="1:6" ht="20">
      <c r="A66" s="30" t="s">
        <v>186</v>
      </c>
    </row>
    <row r="67" spans="1:6" ht="20">
      <c r="A67" s="28" t="s">
        <v>187</v>
      </c>
    </row>
    <row r="68" spans="1:6" ht="20">
      <c r="A68" s="30" t="s">
        <v>188</v>
      </c>
    </row>
    <row r="69" spans="1:6" ht="20">
      <c r="A69" s="28" t="s">
        <v>189</v>
      </c>
    </row>
    <row r="70" spans="1:6" ht="20">
      <c r="A70" s="30" t="s">
        <v>190</v>
      </c>
    </row>
    <row r="71" spans="1:6" ht="20">
      <c r="A71" s="28" t="s">
        <v>191</v>
      </c>
    </row>
    <row r="72" spans="1:6" ht="20">
      <c r="A72" s="30" t="s">
        <v>192</v>
      </c>
    </row>
    <row r="73" spans="1:6" ht="20">
      <c r="A73" s="30" t="s">
        <v>193</v>
      </c>
    </row>
    <row r="74" spans="1:6" ht="20">
      <c r="A74" s="30" t="s">
        <v>194</v>
      </c>
    </row>
    <row r="75" spans="1:6" ht="20">
      <c r="A75" s="30" t="s">
        <v>195</v>
      </c>
    </row>
    <row r="76" spans="1:6" ht="20">
      <c r="A76" s="30" t="s">
        <v>196</v>
      </c>
    </row>
    <row r="77" spans="1:6">
      <c r="A77" s="33" t="s">
        <v>198</v>
      </c>
    </row>
    <row r="78" spans="1:6">
      <c r="A78" s="34"/>
      <c r="B78" s="24"/>
      <c r="C78" s="24"/>
      <c r="D78" s="24"/>
      <c r="E78" s="24"/>
      <c r="F78" s="24"/>
    </row>
    <row r="79" spans="1:6" ht="20">
      <c r="A79" s="30" t="s">
        <v>205</v>
      </c>
      <c r="B79"/>
      <c r="C79"/>
      <c r="D79"/>
      <c r="E79"/>
      <c r="F79"/>
    </row>
    <row r="80" spans="1:6" ht="20">
      <c r="A80" s="35" t="s">
        <v>199</v>
      </c>
    </row>
    <row r="81" spans="1:1" ht="20">
      <c r="A81" s="32" t="s">
        <v>200</v>
      </c>
    </row>
    <row r="82" spans="1:1" ht="20">
      <c r="A82" s="32" t="s">
        <v>201</v>
      </c>
    </row>
    <row r="83" spans="1:1" ht="20">
      <c r="A83" s="32" t="s">
        <v>202</v>
      </c>
    </row>
    <row r="84" spans="1:1" ht="20">
      <c r="A84" s="32" t="s">
        <v>203</v>
      </c>
    </row>
    <row r="85" spans="1:1" ht="20">
      <c r="A85" s="35" t="s">
        <v>204</v>
      </c>
    </row>
    <row r="86" spans="1:1">
      <c r="A86" s="36" t="s">
        <v>198</v>
      </c>
    </row>
    <row r="87" spans="1:1" ht="20">
      <c r="A87" s="35"/>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ht="20">
      <c r="A120" s="32"/>
    </row>
    <row r="121" spans="1:1" ht="20">
      <c r="A121" s="27" t="s">
        <v>197</v>
      </c>
    </row>
  </sheetData>
  <hyperlinks>
    <hyperlink ref="A63" r:id="rId1" display="https://www.reddit.com/r/smallbusiness/comments/jlv3nv/im_thinking_of_buying_a_tablet_for_easier/" xr:uid="{4CD1E9F0-E8AD-46E2-8DA5-7C7471B7575B}"/>
    <hyperlink ref="A77" r:id="rId2" xr:uid="{3E619095-0128-46AB-A9D0-41A49C2AEF3A}"/>
    <hyperlink ref="A86" r:id="rId3" xr:uid="{DEF07030-A594-41AF-860A-C731BE7E49A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CEF40-AC25-457A-95AB-8012C36EAD90}">
  <sheetPr codeName="TestSummary"/>
  <dimension ref="D6"/>
  <sheetViews>
    <sheetView workbookViewId="0"/>
  </sheetViews>
  <sheetFormatPr defaultRowHeight="16"/>
  <sheetData>
    <row r="6" spans="4:4">
      <c r="D6" t="s">
        <v>114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TestSummary.RunTest_Click">
                <anchor moveWithCells="1" sizeWithCells="1">
                  <from>
                    <xdr:col>1</xdr:col>
                    <xdr:colOff>184150</xdr:colOff>
                    <xdr:row>1</xdr:row>
                    <xdr:rowOff>127000</xdr:rowOff>
                  </from>
                  <to>
                    <xdr:col>4</xdr:col>
                    <xdr:colOff>323850</xdr:colOff>
                    <xdr:row>4</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BF0C3-DC6D-46DD-9003-CD54229C8AFE}">
  <sheetPr codeName="ErrorLog"/>
  <dimension ref="A1:D4"/>
  <sheetViews>
    <sheetView workbookViewId="0">
      <selection sqref="A1:D1"/>
    </sheetView>
  </sheetViews>
  <sheetFormatPr defaultRowHeight="16"/>
  <cols>
    <col min="1" max="1" width="13.5" bestFit="1" customWidth="1"/>
    <col min="2" max="2" width="36.25" customWidth="1"/>
    <col min="3" max="3" width="19.25" customWidth="1"/>
    <col min="4" max="4" width="74.5" bestFit="1" customWidth="1"/>
  </cols>
  <sheetData>
    <row r="1" spans="1:4">
      <c r="A1" s="20" t="s">
        <v>123</v>
      </c>
      <c r="B1" t="s">
        <v>124</v>
      </c>
      <c r="C1" t="s">
        <v>125</v>
      </c>
      <c r="D1" t="s">
        <v>126</v>
      </c>
    </row>
    <row r="2" spans="1:4">
      <c r="A2" s="37">
        <v>45708</v>
      </c>
      <c r="B2" t="s">
        <v>206</v>
      </c>
      <c r="C2" t="s">
        <v>208</v>
      </c>
      <c r="D2" t="s">
        <v>207</v>
      </c>
    </row>
    <row r="3" spans="1:4">
      <c r="A3" s="19"/>
    </row>
    <row r="4" spans="1:4">
      <c r="A4" s="19"/>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1933F93F7ED1429CFCA69CEB3B6116" ma:contentTypeVersion="12" ma:contentTypeDescription="Create a new document." ma:contentTypeScope="" ma:versionID="ccc18210d278892d7a7a2e50e9c27fd6">
  <xsd:schema xmlns:xsd="http://www.w3.org/2001/XMLSchema" xmlns:xs="http://www.w3.org/2001/XMLSchema" xmlns:p="http://schemas.microsoft.com/office/2006/metadata/properties" xmlns:ns2="f703426a-d90a-4dc0-aad5-797f2122964e" xmlns:ns3="a7d06e20-07a5-4a53-809a-824385ec2a02" targetNamespace="http://schemas.microsoft.com/office/2006/metadata/properties" ma:root="true" ma:fieldsID="bb43c1c234c6503b704ad3f4e33592a0" ns2:_="" ns3:_="">
    <xsd:import namespace="f703426a-d90a-4dc0-aad5-797f2122964e"/>
    <xsd:import namespace="a7d06e20-07a5-4a53-809a-824385ec2a0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03426a-d90a-4dc0-aad5-797f212296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1387a3e-ba76-4ca0-b210-0cae0634ee68"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d06e20-07a5-4a53-809a-824385ec2a0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4f23f2a-0d21-4958-acbd-f8264c0434b9}" ma:internalName="TaxCatchAll" ma:showField="CatchAllData" ma:web="a7d06e20-07a5-4a53-809a-824385ec2a0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f703426a-d90a-4dc0-aad5-797f2122964e">
      <Terms xmlns="http://schemas.microsoft.com/office/infopath/2007/PartnerControls"/>
    </lcf76f155ced4ddcb4097134ff3c332f>
    <TaxCatchAll xmlns="a7d06e20-07a5-4a53-809a-824385ec2a02" xsi:nil="true"/>
  </documentManagement>
</p:properties>
</file>

<file path=customXml/itemProps1.xml><?xml version="1.0" encoding="utf-8"?>
<ds:datastoreItem xmlns:ds="http://schemas.openxmlformats.org/officeDocument/2006/customXml" ds:itemID="{E02C26B1-919D-4943-8EFE-FA08FDDF0B5C}">
  <ds:schemaRefs>
    <ds:schemaRef ds:uri="http://schemas.microsoft.com/sharepoint/v3/contenttype/forms"/>
  </ds:schemaRefs>
</ds:datastoreItem>
</file>

<file path=customXml/itemProps2.xml><?xml version="1.0" encoding="utf-8"?>
<ds:datastoreItem xmlns:ds="http://schemas.openxmlformats.org/officeDocument/2006/customXml" ds:itemID="{032C8266-8CF3-4F90-8258-8AAE4CC2A1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03426a-d90a-4dc0-aad5-797f2122964e"/>
    <ds:schemaRef ds:uri="a7d06e20-07a5-4a53-809a-824385ec2a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A50F454-C600-4B4E-AE7A-F6C2F2E94328}">
  <ds:schemaRefs>
    <ds:schemaRef ds:uri="http://microsoft.data.visualization.engine.tours/1.0"/>
    <ds:schemaRef ds:uri="http://www.w3.org/2000/xmlns/"/>
    <ds:schemaRef ds:uri="http://www.w3.org/2001/XMLSchema"/>
  </ds:schemaRefs>
</ds:datastoreItem>
</file>

<file path=customXml/itemProps4.xml><?xml version="1.0" encoding="utf-8"?>
<ds:datastoreItem xmlns:ds="http://schemas.openxmlformats.org/officeDocument/2006/customXml" ds:itemID="{D5A9D69A-C875-47C4-80BB-0379C289D137}">
  <ds:schemaRefs>
    <ds:schemaRef ds:uri="http://microsoft.data.visualization.Client.Excel/1.0"/>
    <ds:schemaRef ds:uri="http://www.w3.org/2000/xmlns/"/>
    <ds:schemaRef ds:uri="http://www.w3.org/2001/XMLSchema"/>
  </ds:schemaRefs>
</ds:datastoreItem>
</file>

<file path=customXml/itemProps5.xml><?xml version="1.0" encoding="utf-8"?>
<ds:datastoreItem xmlns:ds="http://schemas.openxmlformats.org/officeDocument/2006/customXml" ds:itemID="{26C41E58-0330-4916-AAB1-0CC9D2130C7C}">
  <ds:schemaRefs>
    <ds:schemaRef ds:uri="http://www.w3.org/XML/1998/namespace"/>
    <ds:schemaRef ds:uri="a7d06e20-07a5-4a53-809a-824385ec2a02"/>
    <ds:schemaRef ds:uri="http://schemas.microsoft.com/office/2006/documentManagement/types"/>
    <ds:schemaRef ds:uri="http://schemas.microsoft.com/office/infopath/2007/PartnerControls"/>
    <ds:schemaRef ds:uri="http://purl.org/dc/elements/1.1/"/>
    <ds:schemaRef ds:uri="http://purl.org/dc/dcmitype/"/>
    <ds:schemaRef ds:uri="http://schemas.microsoft.com/office/2006/metadata/properties"/>
    <ds:schemaRef ds:uri="http://schemas.openxmlformats.org/package/2006/metadata/core-properties"/>
    <ds:schemaRef ds:uri="f703426a-d90a-4dc0-aad5-797f2122964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INVENTORY MANAGEMENT</vt:lpstr>
      <vt:lpstr>ReceivedTally</vt:lpstr>
      <vt:lpstr>ShipmentsTally</vt:lpstr>
      <vt:lpstr>Production</vt:lpstr>
      <vt:lpstr>CreateRecipe</vt:lpstr>
      <vt:lpstr>Prediction</vt:lpstr>
      <vt:lpstr>Recipes</vt:lpstr>
      <vt:lpstr>IngredientPalette</vt:lpstr>
      <vt:lpstr>SavedLists</vt:lpstr>
      <vt:lpstr>Substitutions</vt:lpstr>
      <vt:lpstr>PredictionLog</vt:lpstr>
      <vt:lpstr>InventoryLog</vt:lpstr>
      <vt:lpstr>ProductionLog</vt:lpstr>
      <vt:lpstr>ReceivedLog</vt:lpstr>
      <vt:lpstr>ShipmentsLog</vt:lpstr>
      <vt:lpstr>Codes</vt:lpstr>
      <vt:lpstr>ReadMe</vt:lpstr>
      <vt:lpstr>Emails</vt:lpstr>
      <vt:lpstr>UserCredentials</vt:lpstr>
      <vt:lpstr>Notes</vt:lpstr>
      <vt:lpstr>TestSummary</vt:lpstr>
      <vt:lpstr>ErrorLog</vt:lpstr>
      <vt:lpstr>'INVENTORY MANAGEMENT'!Print_Area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Justin Jahn</dc:creator>
  <cp:keywords/>
  <dc:description/>
  <cp:lastModifiedBy>Justin Jahn</cp:lastModifiedBy>
  <cp:revision/>
  <cp:lastPrinted>2024-11-26T00:11:37Z</cp:lastPrinted>
  <dcterms:created xsi:type="dcterms:W3CDTF">2024-11-02T04:15:02Z</dcterms:created>
  <dcterms:modified xsi:type="dcterms:W3CDTF">2025-11-26T01:03:54Z</dcterms:modified>
  <cp:category>inventory</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0x010100DF1933F93F7ED1429CFCA69CEB3B6116</vt:lpwstr>
  </property>
  <property fmtid="{D5CDD505-2E9C-101B-9397-08002B2CF9AE}" pid="3" name="Order">
    <vt:r8>289300</vt:r8>
  </property>
  <property fmtid="{D5CDD505-2E9C-101B-9397-08002B2CF9AE}" pid="4" name="ComplianceAssetId">
    <vt:lpwstr/>
  </property>
  <property fmtid="{D5CDD505-2E9C-101B-9397-08002B2CF9AE}" pid="5" name="_activity">
    <vt:lpwstr>{"FileActivityType":"6","FileActivityTimeStamp":"2025-04-03T05:06:46.650Z","FileActivityUsersOnPage":[{"DisplayName":"Justin Jahn","Id":"justinwj@blackscottiechai.onmicrosoft.com"}],"FileActivityNavigationId":null}</vt:lpwstr>
  </property>
  <property fmtid="{D5CDD505-2E9C-101B-9397-08002B2CF9AE}" pid="6" name="_ExtendedDescription">
    <vt:lpwstr/>
  </property>
  <property fmtid="{D5CDD505-2E9C-101B-9397-08002B2CF9AE}" pid="7" name="TriggerFlowInfo">
    <vt:lpwstr/>
  </property>
  <property fmtid="{D5CDD505-2E9C-101B-9397-08002B2CF9AE}" pid="8" name="MediaServiceImageTags">
    <vt:lpwstr/>
  </property>
</Properties>
</file>